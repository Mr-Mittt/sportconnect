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Generator" state="visible" r:id="rId4"/>
    <sheet sheetId="2" name="Summary" state="visible" r:id="rId5"/>
    <sheet sheetId="3" name="Locations (Badminton, real DB)" state="visible" r:id="rId6"/>
    <sheet sheetId="4" name="Authors (bao.mmo, real DB)" state="visible" r:id="rId7"/>
    <sheet sheetId="5" name="Read Me" state="visible" r:id="rId8"/>
  </sheets>
  <calcPr calcId="171027"/>
</workbook>
</file>

<file path=xl/sharedStrings.xml><?xml version="1.0" encoding="utf-8"?>
<sst xmlns="http://schemas.openxmlformats.org/spreadsheetml/2006/main" count="1019" uniqueCount="168">
  <si>
    <t>Badminton — Standalone Session Test Data Generator</t>
  </si>
  <si>
    <t>75 standalone-session test cases (15 per hour slot × 5 hour slots: 07:00, 11:00, 15:00, 19:00, 23:00) for the date entered below. Every formula recalculates automatically the moment you change the date — no macro, no button to click.</t>
  </si>
  <si>
    <t>Session date (input):</t>
  </si>
  <si>
    <t>&lt;- edit this cell (yellow). Every row below recalculates instantly.</t>
  </si>
  <si>
    <t>AUTO-UPDATES ON DATE CHANGE — no "Generate" button needed (see Read Me tab for why). Rows are grouped by hour (± buttons in the left margin) — collapse a group to skim faster.</t>
  </si>
  <si>
    <t>#</t>
  </si>
  <si>
    <t>Hour slot</t>
  </si>
  <si>
    <t>Title (session case)</t>
  </si>
  <si>
    <t>Scheduled Start — local (display)</t>
  </si>
  <si>
    <t>scheduledStart — API payload (offset-aware ISO)</t>
  </si>
  <si>
    <t>sportId</t>
  </si>
  <si>
    <t>sportName</t>
  </si>
  <si>
    <t>locationId</t>
  </si>
  <si>
    <t>locationName</t>
  </si>
  <si>
    <t>capacity</t>
  </si>
  <si>
    <t>feeType</t>
  </si>
  <si>
    <t>feeAmountVnd</t>
  </si>
  <si>
    <t>autoApprove</t>
  </si>
  <si>
    <t>isPublic (after create via API)</t>
  </si>
  <si>
    <t>Manual DB fix needed?</t>
  </si>
  <si>
    <t>Post-creation SQL (dev DB only)</t>
  </si>
  <si>
    <t>Purpose / what this case covers</t>
  </si>
  <si>
    <t>Author email (createdBy)</t>
  </si>
  <si>
    <t>Author userId (must be the authenticated caller)</t>
  </si>
  <si>
    <t>Free · Open-join · Tin Sport</t>
  </si>
  <si>
    <t>Badminton</t>
  </si>
  <si>
    <t>Tin sport Badminton (Sân cầu lông)</t>
  </si>
  <si>
    <t>FREE</t>
  </si>
  <si>
    <t/>
  </si>
  <si>
    <t>TRUE</t>
  </si>
  <si>
    <t>No</t>
  </si>
  <si>
    <t>Covers feeType=FREE + autoApprove=true (open-join).</t>
  </si>
  <si>
    <t>bao.mmo7@gmail.com</t>
  </si>
  <si>
    <t>d6e7ba31-23fa-4359-a736-e706db8284c2</t>
  </si>
  <si>
    <t>Free · Open-join · Trọng Nghĩa</t>
  </si>
  <si>
    <t>Sân Cầu Lông Trọng Nghĩa</t>
  </si>
  <si>
    <t>bao.mmo4@gmail.com</t>
  </si>
  <si>
    <t>6c282544-57b6-4712-bb6a-bc696a4ee09b</t>
  </si>
  <si>
    <t>Free · Approval-required · Tin Sport</t>
  </si>
  <si>
    <t>FALSE</t>
  </si>
  <si>
    <t>Covers feeType=FREE + autoApprove=false (REQUESTED, awaiting approval).</t>
  </si>
  <si>
    <t>bao.mmo3@gmail.com</t>
  </si>
  <si>
    <t>a4989bbe-033a-4a20-9784-7dafe8a7829e</t>
  </si>
  <si>
    <t>Free · Approval-required · Trọng Nghĩa</t>
  </si>
  <si>
    <t>Split-cost · Open-join · Tin Sport</t>
  </si>
  <si>
    <t>SPLIT</t>
  </si>
  <si>
    <t>Covers feeType=SPLIT + autoApprove=true (open-join).</t>
  </si>
  <si>
    <t>bao.mmo6@gmail.com</t>
  </si>
  <si>
    <t>ebc9e657-541e-4239-b32a-feb3cab1d6c7</t>
  </si>
  <si>
    <t>Split-cost · Open-join · Trọng Nghĩa</t>
  </si>
  <si>
    <t>Split-cost · Approval-required · Tin Sport</t>
  </si>
  <si>
    <t>Covers feeType=SPLIT + autoApprove=false (REQUESTED, awaiting approval).</t>
  </si>
  <si>
    <t>bao.mmo5@gmail.com</t>
  </si>
  <si>
    <t>456f3ac4-98f3-43d0-9b7a-7b3bd0c886ac</t>
  </si>
  <si>
    <t>Split-cost · Approval-required · Trọng Nghĩa</t>
  </si>
  <si>
    <t>Fixed fee (50k) · Open-join · Tin Sport</t>
  </si>
  <si>
    <t>FIXED</t>
  </si>
  <si>
    <t>Covers feeType=FIXED + autoApprove=true (open-join).</t>
  </si>
  <si>
    <t>Fixed fee (70k) · Open-join · Trọng Nghĩa</t>
  </si>
  <si>
    <t>Fixed fee (50k) · Approval-required · Tin Sport</t>
  </si>
  <si>
    <t>Covers feeType=FIXED + autoApprove=false (REQUESTED, awaiting approval).</t>
  </si>
  <si>
    <t>Fixed fee (70k) · Approval-required · Trọng Nghĩa</t>
  </si>
  <si>
    <t>Free · Open-join · Tin Sport (PRIVATE — manual DB fix)</t>
  </si>
  <si>
    <t>YES</t>
  </si>
  <si>
    <t>UPDATE sessions SET is_public = false WHERE id = &lt;fill in row #13's new session id after creating it via the app/API&gt;;</t>
  </si>
  <si>
    <t>isPublic is hardcoded true for every standalone session at creation (SessionServiceImpl.java:225). Create via the API as normal, then run this row's Post-creation SQL against the dev DB to flip isPublic to false, and confirm GET /api/sessions/discover no longer returns it (SESSION-37/39's isPublic gate).</t>
  </si>
  <si>
    <t>bao.mmo8@gmail.com</t>
  </si>
  <si>
    <t>c98b95c9-df75-4be5-baa1-4892ed15044a</t>
  </si>
  <si>
    <t>Split-cost · Approval-required · Trọng Nghĩa (PRIVATE — manual DB fix)</t>
  </si>
  <si>
    <t>UPDATE sessions SET is_public = false WHERE id = &lt;fill in row #14's new session id after creating it via the app/API&gt;;</t>
  </si>
  <si>
    <t>Fixed fee (50k) · Open-join · Tin Sport (PRIVATE — manual DB fix)</t>
  </si>
  <si>
    <t>UPDATE sessions SET is_public = false WHERE id = &lt;fill in row #15's new session id after creating it via the app/API&gt;;</t>
  </si>
  <si>
    <t>UPDATE sessions SET is_public = false WHERE id = &lt;fill in row #28's new session id after creating it via the app/API&gt;;</t>
  </si>
  <si>
    <t>UPDATE sessions SET is_public = false WHERE id = &lt;fill in row #29's new session id after creating it via the app/API&gt;;</t>
  </si>
  <si>
    <t>UPDATE sessions SET is_public = false WHERE id = &lt;fill in row #30's new session id after creating it via the app/API&gt;;</t>
  </si>
  <si>
    <t>UPDATE sessions SET is_public = false WHERE id = &lt;fill in row #43's new session id after creating it via the app/API&gt;;</t>
  </si>
  <si>
    <t>UPDATE sessions SET is_public = false WHERE id = &lt;fill in row #44's new session id after creating it via the app/API&gt;;</t>
  </si>
  <si>
    <t>UPDATE sessions SET is_public = false WHERE id = &lt;fill in row #45's new session id after creating it via the app/API&gt;;</t>
  </si>
  <si>
    <t>UPDATE sessions SET is_public = false WHERE id = &lt;fill in row #58's new session id after creating it via the app/API&gt;;</t>
  </si>
  <si>
    <t>UPDATE sessions SET is_public = false WHERE id = &lt;fill in row #59's new session id after creating it via the app/API&gt;;</t>
  </si>
  <si>
    <t>UPDATE sessions SET is_public = false WHERE id = &lt;fill in row #60's new session id after creating it via the app/API&gt;;</t>
  </si>
  <si>
    <t>UPDATE sessions SET is_public = false WHERE id = &lt;fill in row #73's new session id after creating it via the app/API&gt;;</t>
  </si>
  <si>
    <t>UPDATE sessions SET is_public = false WHERE id = &lt;fill in row #74's new session id after creating it via the app/API&gt;;</t>
  </si>
  <si>
    <t>UPDATE sessions SET is_public = false WHERE id = &lt;fill in row #75's new session id after creating it via the app/API&gt;;</t>
  </si>
  <si>
    <t>Coverage summary (live formulas against the Session Generator tab)</t>
  </si>
  <si>
    <t>Total sessions</t>
  </si>
  <si>
    <t>By hour slot</t>
  </si>
  <si>
    <t xml:space="preserve">  07:00</t>
  </si>
  <si>
    <t xml:space="preserve">  11:00</t>
  </si>
  <si>
    <t xml:space="preserve">  15:00</t>
  </si>
  <si>
    <t xml:space="preserve">  19:00</t>
  </si>
  <si>
    <t xml:space="preserve">  23:00</t>
  </si>
  <si>
    <t>By feeType</t>
  </si>
  <si>
    <t xml:space="preserve">  FREE</t>
  </si>
  <si>
    <t xml:space="preserve">  SPLIT</t>
  </si>
  <si>
    <t xml:space="preserve">  FIXED</t>
  </si>
  <si>
    <t>By autoApprove</t>
  </si>
  <si>
    <t xml:space="preserve">  TRUE (open-join)</t>
  </si>
  <si>
    <t xml:space="preserve">  FALSE (approval-required)</t>
  </si>
  <si>
    <t>Private-test rows (manual DB fix)</t>
  </si>
  <si>
    <t>By location</t>
  </si>
  <si>
    <t xml:space="preserve">  Tin Sport (id 7)</t>
  </si>
  <si>
    <t xml:space="preserve">  Trọng Nghĩa (id 10)</t>
  </si>
  <si>
    <t>By author</t>
  </si>
  <si>
    <t xml:space="preserve">  bao.mmo3@gmail.com</t>
  </si>
  <si>
    <t xml:space="preserve">  bao.mmo4@gmail.com</t>
  </si>
  <si>
    <t xml:space="preserve">  bao.mmo5@gmail.com</t>
  </si>
  <si>
    <t xml:space="preserve">  bao.mmo6@gmail.com</t>
  </si>
  <si>
    <t xml:space="preserve">  bao.mmo7@gmail.com</t>
  </si>
  <si>
    <t xml:space="preserve">  bao.mmo8@gmail.com</t>
  </si>
  <si>
    <t>Badminton (sportId 1) locations — sportconnect_dev, queried 2026-09-23</t>
  </si>
  <si>
    <t>Pulled live via `docker exec sportconnect-dev-postgres-1 psql ... SELECT id, name, address, timezone FROM locations WHERE sport_id = 1`. The 2 rows marked ★ look like genuine data; the other 6 are named like test fixtures and are listed for completeness only — not used above.</t>
  </si>
  <si>
    <t>id</t>
  </si>
  <si>
    <t>name</t>
  </si>
  <si>
    <t>address</t>
  </si>
  <si>
    <t>timezone</t>
  </si>
  <si>
    <t>used above?</t>
  </si>
  <si>
    <t>LOC2 Test Court</t>
  </si>
  <si>
    <t>123 Test St</t>
  </si>
  <si>
    <t>No — test fixture</t>
  </si>
  <si>
    <t>Discover Test Court</t>
  </si>
  <si>
    <t>Fee Test Court</t>
  </si>
  <si>
    <t>Approval Test Court</t>
  </si>
  <si>
    <t>Asia/Ho_Chi_Minh</t>
  </si>
  <si>
    <t>★ Yes</t>
  </si>
  <si>
    <t>SESSION-15 Test Court</t>
  </si>
  <si>
    <t>NTF-2 Test Court</t>
  </si>
  <si>
    <t>456 Test Ave</t>
  </si>
  <si>
    <t>Users matching email ILIKE 'bao.mmo%' — sportconnect_dev, queried 2026-09-23</t>
  </si>
  <si>
    <t>One of these 6 real, active users is randomly assigned as each row's author on the Session Generator tab (assigned once at generation time, not re-randomized on open — see Read Me). "Times used" is a live count against that tab.</t>
  </si>
  <si>
    <t>email</t>
  </si>
  <si>
    <t>userId</t>
  </si>
  <si>
    <t>times used above</t>
  </si>
  <si>
    <t>Bao Nguyen</t>
  </si>
  <si>
    <t>Bao Nguyen 4</t>
  </si>
  <si>
    <t>bao 5</t>
  </si>
  <si>
    <t>bao 6</t>
  </si>
  <si>
    <t>bao 7</t>
  </si>
  <si>
    <t>bao 8</t>
  </si>
  <si>
    <t>Read Me — assumptions, decisions, and known gaps</t>
  </si>
  <si>
    <t>Purpose</t>
  </si>
  <si>
    <t>Test-data prep for 75 standalone Badminton session cases (15 per hour slot × 5 hour slots) covering the fields Discover/join-flow logic branches on, for a single input date.</t>
  </si>
  <si>
    <t>The 15-case template</t>
  </si>
  <si>
    <t>12 public combos = 3 feeType (FREE/SPLIT/FIXED) × 2 autoApprove (TRUE/FALSE) × 2 real locations — every combination exactly once. + 3 "private test" duplicates (one FREE, one SPLIT, one FIXED case, each in one of the 2 locations) that additionally need the manual DB fix described below. This exact same 15-case template repeats at each of the 5 hour slots, so every hour has full coverage — useful for testing Discover's startTimeFilter/startTime against every case at every hour.</t>
  </si>
  <si>
    <t>Author (createdBy)</t>
  </si>
  <si>
    <t>Randomly assigned per row from the 6 real, active sportconnect_dev users matching email ILIKE 'bao.mmo%' (see the Authors tab) — assigned once when this file was generated, written as a fixed value like every other case-design column (title, feeType, capacity, etc.), not a live/volatile formula that would reshuffle every time you reopen the file or edit the date cell. IMPORTANT: CreateSessionRequest has no createdBy field — the creator is always derived server-side from the caller's own JWT (SecurityUtils.extractUserId), never the request body. "Author userId" here means: to create this row's session exactly as designed, you must be authenticated as that user (i.e. hold that user's access token) when calling POST /api/sessions — it is not something you paste into the payload.</t>
  </si>
  <si>
    <t>Why no VBA "Generate" button</t>
  </si>
  <si>
    <t>A real macro button could not be executed/verified in the environment this file was built in (no local Python or LibreOffice install to test-recalculate against), so it is deliberately left out. Every row's Scheduled Start recalculates the instant you change the date cell on the Generator tab — same practical effect, no macro-security prompt on open, opens identically in Excel/LibreOffice/Google Sheets.</t>
  </si>
  <si>
    <t>Not independently recalculated before delivery</t>
  </si>
  <si>
    <t>This file was built with the exceljs library (no local Python/openpyxl or LibreOffice available on this machine to auto-verify formulas), so please sanity-check the Scheduled Start columns and the Summary/Authors tabs' counts render correctly the first time you open it and change the date.</t>
  </si>
  <si>
    <t>Row grouping</t>
  </si>
  <si>
    <t>Every data row has outline level 1 (grouped per contiguous hour block) — use the ± controls in the sheet's left margin to collapse/expand an hour's 15 rows at a time.</t>
  </si>
  <si>
    <t>Hours</t>
  </si>
  <si>
    <t>Fixed at 07:00, 11:00, 15:00, 19:00, 23:00 — evenly spread across the requested 07:00–23:00 window.</t>
  </si>
  <si>
    <t>"Private/public"</t>
  </si>
  <si>
    <t>Session has no client-settable private/public field. isPublic exists on the entity but SessionServiceImpl.java:225 hardcodes it to (groupId == null) at creation — every standalone session is isPublic=true, unconditionally, with no create/update endpoint field to override it (verified against CreateSessionRequest.java and UpdateSessionRequest.java — neither declares it). The 15 rows per day flagged "Manual DB fix needed = YES" (3 per hour) are the exception this sheet builds for: create each normally via the app/API, then run its own Post-creation SQL cell directly against the dev DB to flip isPublic to false, and confirm GET /api/sessions/discover's isPublic gate (SESSION-37/39) excludes it.</t>
  </si>
  <si>
    <t>autoApprove as the closest real "approval gate"</t>
  </si>
  <si>
    <t>TRUE = anyone can join instantly. FALSE = a non-invited joiner lands in REQUESTED, awaiting the creator's approval (session.ts's own ParticipantStatus doc comment).</t>
  </si>
  <si>
    <t>Locations</t>
  </si>
  <si>
    <t>Both used locations (ids 7 and 10) are real sportconnect_dev rows for sportId=1 (Badminton), not fixtures — see the Locations tab. Their timezone is Asia/Ho_Chi_Minh (UTC+7), which is why the API payload column hardcodes a +07:00 offset. Each combo appears with each location, splitting the 12 public rows per hour 6/6 between them.</t>
  </si>
  <si>
    <t>scheduledStart contract</t>
  </si>
  <si>
    <t>CreateSessionRequest.scheduledStart is a required, offset-aware Instant (SESSION-33) — an offset-less string is rejected with a 400. The "API payload" column already includes +07:00; paste it into the request body as-is.</t>
  </si>
  <si>
    <t>Populated only for FIXED rows (meaningful only when feeType=FIXED per FeeType's own doc comment in shared/types/session.ts) — left blank for FREE/SPLIT rows. Fixed at 50,000 VND for location id 7 and 70,000 VND for location id 10 (placeholder round numbers, not sourced from real pricing data) — change them if you need a specific figure.</t>
  </si>
  <si>
    <t>Fixed per feeType (FREE=10, SPLIT=6, FIXED=8) to add a little variety without inventing an untested new dimension — not derived from any real constraint. capacity is display-only server-side (SESSION-5) and never enforced by joinSession.</t>
  </si>
  <si>
    <t>No sport-profile requirement on the creator</t>
  </si>
  <si>
    <t>Verified createSession does not require the caller to hold an active Badminton UserSportProfile (only sportService.requireActiveSportById checks the sport itself is active) — unlike some other flows in this codebase (e.g. GroupServiceImpl.createGroup's hasProfileForSport), so any of the 6 authors works regardless of their own sport profiles.</t>
  </si>
  <si>
    <t>Not covered by this sheet</t>
  </si>
  <si>
    <t>PREPARING-status sessions (omitted locationId/feeType), group-linked sessions, inviteeIds, and session attributes — all out of scope for this standalone-session test-data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</si>
</sst>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 (dddd)"/>
    <numFmt numFmtId="165" formatCode="yyyy-mm-dd hh:mm"/>
  </numFmts>
  <fonts count="12" x14ac:knownFonts="1">
    <font>
      <color theme="1"/>
      <family val="2"/>
      <scheme val="minor"/>
      <sz val="11"/>
      <name val="Calibri"/>
    </font>
    <font>
      <b/>
      <color rgb="FF1F4E78"/>
      <sz val="16"/>
      <name val="Arial"/>
    </font>
    <font>
      <i/>
      <color rgb="FF595959"/>
      <sz val="10"/>
      <name val="Arial"/>
    </font>
    <font>
      <b/>
      <sz val="11"/>
      <name val="Arial"/>
    </font>
    <font>
      <b/>
      <color rgb="FF0000FF"/>
      <sz val="11"/>
      <name val="Arial"/>
    </font>
    <font>
      <i/>
      <color rgb="FF808080"/>
      <sz val="9"/>
      <name val="Arial"/>
    </font>
    <font>
      <b/>
      <color rgb="FF375623"/>
      <sz val="11"/>
      <name val="Arial"/>
    </font>
    <font>
      <b/>
      <color rgb="FFFFFFFF"/>
      <sz val="10"/>
      <name val="Arial"/>
    </font>
    <font>
      <sz val="10"/>
      <name val="Arial"/>
    </font>
    <font>
      <b/>
      <color rgb="FF9C0006"/>
      <sz val="9"/>
      <name val="Arial"/>
    </font>
    <font>
      <b/>
      <color rgb="FF1F4E78"/>
      <sz val="14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C6E0B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/>
    <xf numFmtId="164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0" xfId="0" applyFont="1" applyFill="1"/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top" wrapText="1"/>
    </xf>
    <xf numFmtId="165" fontId="8" fillId="5" borderId="1" xfId="0" applyNumberFormat="1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top" wrapText="1"/>
    </xf>
    <xf numFmtId="165" fontId="8" fillId="7" borderId="1" xfId="0" applyNumberFormat="1" applyFont="1" applyFill="1" applyBorder="1" applyAlignment="1">
      <alignment horizontal="left" vertical="top" wrapText="1"/>
    </xf>
    <xf numFmtId="0" fontId="10" fillId="0" borderId="0" xfId="0" applyFont="1"/>
    <xf numFmtId="0" fontId="3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84"/>
  <sheetViews>
    <sheetView workbookViewId="0" showGridLines="0">
      <pane xSplit="1" ySplit="9" topLeftCell="B10" activePane="bottomRight" state="frozen"/>
      <selection pane="bottomRight"/>
    </sheetView>
  </sheetViews>
  <sheetFormatPr defaultRowHeight="15" outlineLevelRow="1" outlineLevelCol="0" x14ac:dyDescent="55"/>
  <cols>
    <col min="1" max="1" width="2" customWidth="1"/>
    <col min="2" max="2" width="4" customWidth="1"/>
    <col min="4" max="4" width="40" customWidth="1"/>
    <col min="5" max="5" width="20" customWidth="1"/>
    <col min="6" max="6" width="34" customWidth="1"/>
    <col min="7" max="7" width="8" customWidth="1"/>
    <col min="8" max="8" width="12" customWidth="1"/>
    <col min="9" max="9" width="10" customWidth="1"/>
    <col min="10" max="10" width="34" customWidth="1"/>
    <col min="13" max="13" width="12" customWidth="1"/>
    <col min="14" max="14" width="11" customWidth="1"/>
    <col min="15" max="15" width="12" customWidth="1"/>
    <col min="16" max="16" width="15" customWidth="1"/>
    <col min="17" max="17" width="46" customWidth="1"/>
    <col min="18" max="18" width="40" customWidth="1"/>
    <col min="19" max="19" width="22" customWidth="1"/>
    <col min="20" max="20" width="38" customWidth="1"/>
  </cols>
  <sheetData>
    <row r="2" spans="2:2" x14ac:dyDescent="0.25">
      <c r="B2" s="1" t="s">
        <v>0</v>
      </c>
    </row>
    <row r="3" ht="28" customHeight="1" spans="2:20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5" spans="2:4" x14ac:dyDescent="0.25">
      <c r="B5" s="3" t="s">
        <v>2</v>
      </c>
      <c r="C5" s="4">
        <f>TODAY()+1</f>
      </c>
      <c r="D5" s="5" t="s">
        <v>3</v>
      </c>
    </row>
    <row r="7" ht="20" customHeight="1" spans="2:20" x14ac:dyDescent="0.25">
      <c r="B7" s="6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9" spans="2:20" x14ac:dyDescent="0.25"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  <c r="K9" s="7" t="s">
        <v>14</v>
      </c>
      <c r="L9" s="7" t="s">
        <v>15</v>
      </c>
      <c r="M9" s="7" t="s">
        <v>16</v>
      </c>
      <c r="N9" s="7" t="s">
        <v>17</v>
      </c>
      <c r="O9" s="7" t="s">
        <v>18</v>
      </c>
      <c r="P9" s="7" t="s">
        <v>19</v>
      </c>
      <c r="Q9" s="7" t="s">
        <v>20</v>
      </c>
      <c r="R9" s="7" t="s">
        <v>21</v>
      </c>
      <c r="S9" s="7" t="s">
        <v>22</v>
      </c>
      <c r="T9" s="7" t="s">
        <v>23</v>
      </c>
    </row>
    <row r="10" ht="28" customHeight="1" spans="2:20" x14ac:dyDescent="0.25" outlineLevel="1" collapsed="1">
      <c r="B10" s="8">
        <v>1</v>
      </c>
      <c r="C10" s="8">
        <v>7</v>
      </c>
      <c r="D10" s="9" t="s">
        <v>24</v>
      </c>
      <c r="E10" s="10">
        <f>$C$5+TIME(C10,0,0)</f>
      </c>
      <c r="F10" s="9">
        <f>TEXT($C$5,"yyyy-mm-dd")&amp;"T"&amp;TEXT(C10,"00")&amp;":00:00+07:00"</f>
      </c>
      <c r="G10" s="8">
        <v>1</v>
      </c>
      <c r="H10" s="9" t="s">
        <v>25</v>
      </c>
      <c r="I10" s="8">
        <v>7</v>
      </c>
      <c r="J10" s="9" t="s">
        <v>26</v>
      </c>
      <c r="K10" s="8">
        <v>10</v>
      </c>
      <c r="L10" s="8" t="s">
        <v>27</v>
      </c>
      <c r="M10" s="8" t="s">
        <v>28</v>
      </c>
      <c r="N10" s="8" t="s">
        <v>29</v>
      </c>
      <c r="O10" s="8" t="s">
        <v>29</v>
      </c>
      <c r="P10" s="8" t="s">
        <v>30</v>
      </c>
      <c r="Q10" s="9" t="s">
        <v>28</v>
      </c>
      <c r="R10" s="9" t="s">
        <v>31</v>
      </c>
      <c r="S10" s="9" t="s">
        <v>32</v>
      </c>
      <c r="T10" s="9" t="s">
        <v>33</v>
      </c>
    </row>
    <row r="11" ht="28" customHeight="1" spans="2:20" x14ac:dyDescent="0.25" outlineLevel="1" collapsed="1">
      <c r="B11" s="8">
        <v>2</v>
      </c>
      <c r="C11" s="8">
        <v>7</v>
      </c>
      <c r="D11" s="9" t="s">
        <v>34</v>
      </c>
      <c r="E11" s="10">
        <f>$C$5+TIME(C11,0,0)</f>
      </c>
      <c r="F11" s="9">
        <f>TEXT($C$5,"yyyy-mm-dd")&amp;"T"&amp;TEXT(C11,"00")&amp;":00:00+07:00"</f>
      </c>
      <c r="G11" s="8">
        <v>1</v>
      </c>
      <c r="H11" s="9" t="s">
        <v>25</v>
      </c>
      <c r="I11" s="8">
        <v>10</v>
      </c>
      <c r="J11" s="9" t="s">
        <v>35</v>
      </c>
      <c r="K11" s="8">
        <v>10</v>
      </c>
      <c r="L11" s="8" t="s">
        <v>27</v>
      </c>
      <c r="M11" s="8" t="s">
        <v>28</v>
      </c>
      <c r="N11" s="8" t="s">
        <v>29</v>
      </c>
      <c r="O11" s="8" t="s">
        <v>29</v>
      </c>
      <c r="P11" s="8" t="s">
        <v>30</v>
      </c>
      <c r="Q11" s="9" t="s">
        <v>28</v>
      </c>
      <c r="R11" s="9" t="s">
        <v>31</v>
      </c>
      <c r="S11" s="9" t="s">
        <v>36</v>
      </c>
      <c r="T11" s="9" t="s">
        <v>37</v>
      </c>
    </row>
    <row r="12" ht="28" customHeight="1" spans="2:20" x14ac:dyDescent="0.25" outlineLevel="1" collapsed="1">
      <c r="B12" s="8">
        <v>3</v>
      </c>
      <c r="C12" s="8">
        <v>7</v>
      </c>
      <c r="D12" s="9" t="s">
        <v>38</v>
      </c>
      <c r="E12" s="10">
        <f>$C$5+TIME(C12,0,0)</f>
      </c>
      <c r="F12" s="9">
        <f>TEXT($C$5,"yyyy-mm-dd")&amp;"T"&amp;TEXT(C12,"00")&amp;":00:00+07:00"</f>
      </c>
      <c r="G12" s="8">
        <v>1</v>
      </c>
      <c r="H12" s="9" t="s">
        <v>25</v>
      </c>
      <c r="I12" s="8">
        <v>7</v>
      </c>
      <c r="J12" s="9" t="s">
        <v>26</v>
      </c>
      <c r="K12" s="8">
        <v>10</v>
      </c>
      <c r="L12" s="8" t="s">
        <v>27</v>
      </c>
      <c r="M12" s="8" t="s">
        <v>28</v>
      </c>
      <c r="N12" s="8" t="s">
        <v>39</v>
      </c>
      <c r="O12" s="8" t="s">
        <v>29</v>
      </c>
      <c r="P12" s="8" t="s">
        <v>30</v>
      </c>
      <c r="Q12" s="9" t="s">
        <v>28</v>
      </c>
      <c r="R12" s="9" t="s">
        <v>40</v>
      </c>
      <c r="S12" s="9" t="s">
        <v>41</v>
      </c>
      <c r="T12" s="9" t="s">
        <v>42</v>
      </c>
    </row>
    <row r="13" ht="28" customHeight="1" spans="2:20" x14ac:dyDescent="0.25" outlineLevel="1" collapsed="1">
      <c r="B13" s="8">
        <v>4</v>
      </c>
      <c r="C13" s="8">
        <v>7</v>
      </c>
      <c r="D13" s="9" t="s">
        <v>43</v>
      </c>
      <c r="E13" s="10">
        <f>$C$5+TIME(C13,0,0)</f>
      </c>
      <c r="F13" s="9">
        <f>TEXT($C$5,"yyyy-mm-dd")&amp;"T"&amp;TEXT(C13,"00")&amp;":00:00+07:00"</f>
      </c>
      <c r="G13" s="8">
        <v>1</v>
      </c>
      <c r="H13" s="9" t="s">
        <v>25</v>
      </c>
      <c r="I13" s="8">
        <v>10</v>
      </c>
      <c r="J13" s="9" t="s">
        <v>35</v>
      </c>
      <c r="K13" s="8">
        <v>10</v>
      </c>
      <c r="L13" s="8" t="s">
        <v>27</v>
      </c>
      <c r="M13" s="8" t="s">
        <v>28</v>
      </c>
      <c r="N13" s="8" t="s">
        <v>39</v>
      </c>
      <c r="O13" s="8" t="s">
        <v>29</v>
      </c>
      <c r="P13" s="8" t="s">
        <v>30</v>
      </c>
      <c r="Q13" s="9" t="s">
        <v>28</v>
      </c>
      <c r="R13" s="9" t="s">
        <v>40</v>
      </c>
      <c r="S13" s="9" t="s">
        <v>41</v>
      </c>
      <c r="T13" s="9" t="s">
        <v>42</v>
      </c>
    </row>
    <row r="14" ht="28" customHeight="1" spans="2:20" x14ac:dyDescent="0.25" outlineLevel="1" collapsed="1">
      <c r="B14" s="8">
        <v>5</v>
      </c>
      <c r="C14" s="8">
        <v>7</v>
      </c>
      <c r="D14" s="9" t="s">
        <v>44</v>
      </c>
      <c r="E14" s="10">
        <f>$C$5+TIME(C14,0,0)</f>
      </c>
      <c r="F14" s="9">
        <f>TEXT($C$5,"yyyy-mm-dd")&amp;"T"&amp;TEXT(C14,"00")&amp;":00:00+07:00"</f>
      </c>
      <c r="G14" s="8">
        <v>1</v>
      </c>
      <c r="H14" s="9" t="s">
        <v>25</v>
      </c>
      <c r="I14" s="8">
        <v>7</v>
      </c>
      <c r="J14" s="9" t="s">
        <v>26</v>
      </c>
      <c r="K14" s="8">
        <v>6</v>
      </c>
      <c r="L14" s="8" t="s">
        <v>45</v>
      </c>
      <c r="M14" s="8" t="s">
        <v>28</v>
      </c>
      <c r="N14" s="8" t="s">
        <v>29</v>
      </c>
      <c r="O14" s="8" t="s">
        <v>29</v>
      </c>
      <c r="P14" s="8" t="s">
        <v>30</v>
      </c>
      <c r="Q14" s="9" t="s">
        <v>28</v>
      </c>
      <c r="R14" s="9" t="s">
        <v>46</v>
      </c>
      <c r="S14" s="9" t="s">
        <v>47</v>
      </c>
      <c r="T14" s="9" t="s">
        <v>48</v>
      </c>
    </row>
    <row r="15" ht="28" customHeight="1" spans="2:20" x14ac:dyDescent="0.25" outlineLevel="1" collapsed="1">
      <c r="B15" s="8">
        <v>6</v>
      </c>
      <c r="C15" s="8">
        <v>7</v>
      </c>
      <c r="D15" s="9" t="s">
        <v>49</v>
      </c>
      <c r="E15" s="10">
        <f>$C$5+TIME(C15,0,0)</f>
      </c>
      <c r="F15" s="9">
        <f>TEXT($C$5,"yyyy-mm-dd")&amp;"T"&amp;TEXT(C15,"00")&amp;":00:00+07:00"</f>
      </c>
      <c r="G15" s="8">
        <v>1</v>
      </c>
      <c r="H15" s="9" t="s">
        <v>25</v>
      </c>
      <c r="I15" s="8">
        <v>10</v>
      </c>
      <c r="J15" s="9" t="s">
        <v>35</v>
      </c>
      <c r="K15" s="8">
        <v>6</v>
      </c>
      <c r="L15" s="8" t="s">
        <v>45</v>
      </c>
      <c r="M15" s="8" t="s">
        <v>28</v>
      </c>
      <c r="N15" s="8" t="s">
        <v>29</v>
      </c>
      <c r="O15" s="8" t="s">
        <v>29</v>
      </c>
      <c r="P15" s="8" t="s">
        <v>30</v>
      </c>
      <c r="Q15" s="9" t="s">
        <v>28</v>
      </c>
      <c r="R15" s="9" t="s">
        <v>46</v>
      </c>
      <c r="S15" s="9" t="s">
        <v>41</v>
      </c>
      <c r="T15" s="9" t="s">
        <v>42</v>
      </c>
    </row>
    <row r="16" ht="28" customHeight="1" spans="2:20" x14ac:dyDescent="0.25" outlineLevel="1" collapsed="1">
      <c r="B16" s="8">
        <v>7</v>
      </c>
      <c r="C16" s="8">
        <v>7</v>
      </c>
      <c r="D16" s="9" t="s">
        <v>50</v>
      </c>
      <c r="E16" s="10">
        <f>$C$5+TIME(C16,0,0)</f>
      </c>
      <c r="F16" s="9">
        <f>TEXT($C$5,"yyyy-mm-dd")&amp;"T"&amp;TEXT(C16,"00")&amp;":00:00+07:00"</f>
      </c>
      <c r="G16" s="8">
        <v>1</v>
      </c>
      <c r="H16" s="9" t="s">
        <v>25</v>
      </c>
      <c r="I16" s="8">
        <v>7</v>
      </c>
      <c r="J16" s="9" t="s">
        <v>26</v>
      </c>
      <c r="K16" s="8">
        <v>6</v>
      </c>
      <c r="L16" s="8" t="s">
        <v>45</v>
      </c>
      <c r="M16" s="8" t="s">
        <v>28</v>
      </c>
      <c r="N16" s="8" t="s">
        <v>39</v>
      </c>
      <c r="O16" s="8" t="s">
        <v>29</v>
      </c>
      <c r="P16" s="8" t="s">
        <v>30</v>
      </c>
      <c r="Q16" s="9" t="s">
        <v>28</v>
      </c>
      <c r="R16" s="9" t="s">
        <v>51</v>
      </c>
      <c r="S16" s="9" t="s">
        <v>52</v>
      </c>
      <c r="T16" s="9" t="s">
        <v>53</v>
      </c>
    </row>
    <row r="17" ht="28" customHeight="1" spans="2:20" x14ac:dyDescent="0.25" outlineLevel="1" collapsed="1">
      <c r="B17" s="8">
        <v>8</v>
      </c>
      <c r="C17" s="8">
        <v>7</v>
      </c>
      <c r="D17" s="9" t="s">
        <v>54</v>
      </c>
      <c r="E17" s="10">
        <f>$C$5+TIME(C17,0,0)</f>
      </c>
      <c r="F17" s="9">
        <f>TEXT($C$5,"yyyy-mm-dd")&amp;"T"&amp;TEXT(C17,"00")&amp;":00:00+07:00"</f>
      </c>
      <c r="G17" s="8">
        <v>1</v>
      </c>
      <c r="H17" s="9" t="s">
        <v>25</v>
      </c>
      <c r="I17" s="8">
        <v>10</v>
      </c>
      <c r="J17" s="9" t="s">
        <v>35</v>
      </c>
      <c r="K17" s="8">
        <v>6</v>
      </c>
      <c r="L17" s="8" t="s">
        <v>45</v>
      </c>
      <c r="M17" s="8" t="s">
        <v>28</v>
      </c>
      <c r="N17" s="8" t="s">
        <v>39</v>
      </c>
      <c r="O17" s="8" t="s">
        <v>29</v>
      </c>
      <c r="P17" s="8" t="s">
        <v>30</v>
      </c>
      <c r="Q17" s="9" t="s">
        <v>28</v>
      </c>
      <c r="R17" s="9" t="s">
        <v>51</v>
      </c>
      <c r="S17" s="9" t="s">
        <v>32</v>
      </c>
      <c r="T17" s="9" t="s">
        <v>33</v>
      </c>
    </row>
    <row r="18" ht="28" customHeight="1" spans="2:20" x14ac:dyDescent="0.25" outlineLevel="1" collapsed="1">
      <c r="B18" s="8">
        <v>9</v>
      </c>
      <c r="C18" s="8">
        <v>7</v>
      </c>
      <c r="D18" s="9" t="s">
        <v>55</v>
      </c>
      <c r="E18" s="10">
        <f>$C$5+TIME(C18,0,0)</f>
      </c>
      <c r="F18" s="9">
        <f>TEXT($C$5,"yyyy-mm-dd")&amp;"T"&amp;TEXT(C18,"00")&amp;":00:00+07:00"</f>
      </c>
      <c r="G18" s="8">
        <v>1</v>
      </c>
      <c r="H18" s="9" t="s">
        <v>25</v>
      </c>
      <c r="I18" s="8">
        <v>7</v>
      </c>
      <c r="J18" s="9" t="s">
        <v>26</v>
      </c>
      <c r="K18" s="8">
        <v>8</v>
      </c>
      <c r="L18" s="8" t="s">
        <v>56</v>
      </c>
      <c r="M18" s="8">
        <v>50000</v>
      </c>
      <c r="N18" s="8" t="s">
        <v>29</v>
      </c>
      <c r="O18" s="8" t="s">
        <v>29</v>
      </c>
      <c r="P18" s="8" t="s">
        <v>30</v>
      </c>
      <c r="Q18" s="9" t="s">
        <v>28</v>
      </c>
      <c r="R18" s="9" t="s">
        <v>57</v>
      </c>
      <c r="S18" s="9" t="s">
        <v>32</v>
      </c>
      <c r="T18" s="9" t="s">
        <v>33</v>
      </c>
    </row>
    <row r="19" ht="28" customHeight="1" spans="2:20" x14ac:dyDescent="0.25" outlineLevel="1" collapsed="1">
      <c r="B19" s="8">
        <v>10</v>
      </c>
      <c r="C19" s="8">
        <v>7</v>
      </c>
      <c r="D19" s="9" t="s">
        <v>58</v>
      </c>
      <c r="E19" s="10">
        <f>$C$5+TIME(C19,0,0)</f>
      </c>
      <c r="F19" s="9">
        <f>TEXT($C$5,"yyyy-mm-dd")&amp;"T"&amp;TEXT(C19,"00")&amp;":00:00+07:00"</f>
      </c>
      <c r="G19" s="8">
        <v>1</v>
      </c>
      <c r="H19" s="9" t="s">
        <v>25</v>
      </c>
      <c r="I19" s="8">
        <v>10</v>
      </c>
      <c r="J19" s="9" t="s">
        <v>35</v>
      </c>
      <c r="K19" s="8">
        <v>8</v>
      </c>
      <c r="L19" s="8" t="s">
        <v>56</v>
      </c>
      <c r="M19" s="8">
        <v>70000</v>
      </c>
      <c r="N19" s="8" t="s">
        <v>29</v>
      </c>
      <c r="O19" s="8" t="s">
        <v>29</v>
      </c>
      <c r="P19" s="8" t="s">
        <v>30</v>
      </c>
      <c r="Q19" s="9" t="s">
        <v>28</v>
      </c>
      <c r="R19" s="9" t="s">
        <v>57</v>
      </c>
      <c r="S19" s="9" t="s">
        <v>32</v>
      </c>
      <c r="T19" s="9" t="s">
        <v>33</v>
      </c>
    </row>
    <row r="20" ht="28" customHeight="1" spans="2:20" x14ac:dyDescent="0.25" outlineLevel="1" collapsed="1">
      <c r="B20" s="8">
        <v>11</v>
      </c>
      <c r="C20" s="8">
        <v>7</v>
      </c>
      <c r="D20" s="9" t="s">
        <v>59</v>
      </c>
      <c r="E20" s="10">
        <f>$C$5+TIME(C20,0,0)</f>
      </c>
      <c r="F20" s="9">
        <f>TEXT($C$5,"yyyy-mm-dd")&amp;"T"&amp;TEXT(C20,"00")&amp;":00:00+07:00"</f>
      </c>
      <c r="G20" s="8">
        <v>1</v>
      </c>
      <c r="H20" s="9" t="s">
        <v>25</v>
      </c>
      <c r="I20" s="8">
        <v>7</v>
      </c>
      <c r="J20" s="9" t="s">
        <v>26</v>
      </c>
      <c r="K20" s="8">
        <v>8</v>
      </c>
      <c r="L20" s="8" t="s">
        <v>56</v>
      </c>
      <c r="M20" s="8">
        <v>50000</v>
      </c>
      <c r="N20" s="8" t="s">
        <v>39</v>
      </c>
      <c r="O20" s="8" t="s">
        <v>29</v>
      </c>
      <c r="P20" s="8" t="s">
        <v>30</v>
      </c>
      <c r="Q20" s="9" t="s">
        <v>28</v>
      </c>
      <c r="R20" s="9" t="s">
        <v>60</v>
      </c>
      <c r="S20" s="9" t="s">
        <v>52</v>
      </c>
      <c r="T20" s="9" t="s">
        <v>53</v>
      </c>
    </row>
    <row r="21" ht="28" customHeight="1" spans="2:20" x14ac:dyDescent="0.25" outlineLevel="1" collapsed="1">
      <c r="B21" s="8">
        <v>12</v>
      </c>
      <c r="C21" s="8">
        <v>7</v>
      </c>
      <c r="D21" s="9" t="s">
        <v>61</v>
      </c>
      <c r="E21" s="10">
        <f>$C$5+TIME(C21,0,0)</f>
      </c>
      <c r="F21" s="9">
        <f>TEXT($C$5,"yyyy-mm-dd")&amp;"T"&amp;TEXT(C21,"00")&amp;":00:00+07:00"</f>
      </c>
      <c r="G21" s="8">
        <v>1</v>
      </c>
      <c r="H21" s="9" t="s">
        <v>25</v>
      </c>
      <c r="I21" s="8">
        <v>10</v>
      </c>
      <c r="J21" s="9" t="s">
        <v>35</v>
      </c>
      <c r="K21" s="8">
        <v>8</v>
      </c>
      <c r="L21" s="8" t="s">
        <v>56</v>
      </c>
      <c r="M21" s="8">
        <v>70000</v>
      </c>
      <c r="N21" s="8" t="s">
        <v>39</v>
      </c>
      <c r="O21" s="8" t="s">
        <v>29</v>
      </c>
      <c r="P21" s="8" t="s">
        <v>30</v>
      </c>
      <c r="Q21" s="9" t="s">
        <v>28</v>
      </c>
      <c r="R21" s="9" t="s">
        <v>60</v>
      </c>
      <c r="S21" s="9" t="s">
        <v>36</v>
      </c>
      <c r="T21" s="9" t="s">
        <v>37</v>
      </c>
    </row>
    <row r="22" ht="46" customHeight="1" spans="2:20" x14ac:dyDescent="0.25" outlineLevel="1" collapsed="1">
      <c r="B22" s="8">
        <v>13</v>
      </c>
      <c r="C22" s="8">
        <v>7</v>
      </c>
      <c r="D22" s="9" t="s">
        <v>62</v>
      </c>
      <c r="E22" s="10">
        <f>$C$5+TIME(C22,0,0)</f>
      </c>
      <c r="F22" s="9">
        <f>TEXT($C$5,"yyyy-mm-dd")&amp;"T"&amp;TEXT(C22,"00")&amp;":00:00+07:00"</f>
      </c>
      <c r="G22" s="8">
        <v>1</v>
      </c>
      <c r="H22" s="9" t="s">
        <v>25</v>
      </c>
      <c r="I22" s="8">
        <v>7</v>
      </c>
      <c r="J22" s="9" t="s">
        <v>26</v>
      </c>
      <c r="K22" s="8">
        <v>10</v>
      </c>
      <c r="L22" s="8" t="s">
        <v>27</v>
      </c>
      <c r="M22" s="8" t="s">
        <v>28</v>
      </c>
      <c r="N22" s="8" t="s">
        <v>29</v>
      </c>
      <c r="O22" s="11" t="s">
        <v>29</v>
      </c>
      <c r="P22" s="11" t="s">
        <v>63</v>
      </c>
      <c r="Q22" s="12" t="s">
        <v>64</v>
      </c>
      <c r="R22" s="9" t="s">
        <v>65</v>
      </c>
      <c r="S22" s="9" t="s">
        <v>66</v>
      </c>
      <c r="T22" s="9" t="s">
        <v>67</v>
      </c>
    </row>
    <row r="23" ht="46" customHeight="1" spans="2:20" x14ac:dyDescent="0.25" outlineLevel="1" collapsed="1">
      <c r="B23" s="8">
        <v>14</v>
      </c>
      <c r="C23" s="8">
        <v>7</v>
      </c>
      <c r="D23" s="9" t="s">
        <v>68</v>
      </c>
      <c r="E23" s="10">
        <f>$C$5+TIME(C23,0,0)</f>
      </c>
      <c r="F23" s="9">
        <f>TEXT($C$5,"yyyy-mm-dd")&amp;"T"&amp;TEXT(C23,"00")&amp;":00:00+07:00"</f>
      </c>
      <c r="G23" s="8">
        <v>1</v>
      </c>
      <c r="H23" s="9" t="s">
        <v>25</v>
      </c>
      <c r="I23" s="8">
        <v>10</v>
      </c>
      <c r="J23" s="9" t="s">
        <v>35</v>
      </c>
      <c r="K23" s="8">
        <v>6</v>
      </c>
      <c r="L23" s="8" t="s">
        <v>45</v>
      </c>
      <c r="M23" s="8" t="s">
        <v>28</v>
      </c>
      <c r="N23" s="8" t="s">
        <v>39</v>
      </c>
      <c r="O23" s="11" t="s">
        <v>29</v>
      </c>
      <c r="P23" s="11" t="s">
        <v>63</v>
      </c>
      <c r="Q23" s="12" t="s">
        <v>69</v>
      </c>
      <c r="R23" s="9" t="s">
        <v>65</v>
      </c>
      <c r="S23" s="9" t="s">
        <v>41</v>
      </c>
      <c r="T23" s="9" t="s">
        <v>42</v>
      </c>
    </row>
    <row r="24" ht="46" customHeight="1" spans="2:20" x14ac:dyDescent="0.25" outlineLevel="1" collapsed="1">
      <c r="B24" s="8">
        <v>15</v>
      </c>
      <c r="C24" s="8">
        <v>7</v>
      </c>
      <c r="D24" s="9" t="s">
        <v>70</v>
      </c>
      <c r="E24" s="10">
        <f>$C$5+TIME(C24,0,0)</f>
      </c>
      <c r="F24" s="9">
        <f>TEXT($C$5,"yyyy-mm-dd")&amp;"T"&amp;TEXT(C24,"00")&amp;":00:00+07:00"</f>
      </c>
      <c r="G24" s="8">
        <v>1</v>
      </c>
      <c r="H24" s="9" t="s">
        <v>25</v>
      </c>
      <c r="I24" s="8">
        <v>7</v>
      </c>
      <c r="J24" s="9" t="s">
        <v>26</v>
      </c>
      <c r="K24" s="8">
        <v>8</v>
      </c>
      <c r="L24" s="8" t="s">
        <v>56</v>
      </c>
      <c r="M24" s="8">
        <v>50000</v>
      </c>
      <c r="N24" s="8" t="s">
        <v>29</v>
      </c>
      <c r="O24" s="11" t="s">
        <v>29</v>
      </c>
      <c r="P24" s="11" t="s">
        <v>63</v>
      </c>
      <c r="Q24" s="12" t="s">
        <v>71</v>
      </c>
      <c r="R24" s="9" t="s">
        <v>65</v>
      </c>
      <c r="S24" s="9" t="s">
        <v>52</v>
      </c>
      <c r="T24" s="9" t="s">
        <v>53</v>
      </c>
    </row>
    <row r="25" ht="28" customHeight="1" spans="2:20" x14ac:dyDescent="0.25" outlineLevel="1" collapsed="1">
      <c r="B25" s="13">
        <v>16</v>
      </c>
      <c r="C25" s="13">
        <v>11</v>
      </c>
      <c r="D25" s="14" t="s">
        <v>24</v>
      </c>
      <c r="E25" s="15">
        <f>$C$5+TIME(C25,0,0)</f>
      </c>
      <c r="F25" s="14">
        <f>TEXT($C$5,"yyyy-mm-dd")&amp;"T"&amp;TEXT(C25,"00")&amp;":00:00+07:00"</f>
      </c>
      <c r="G25" s="13">
        <v>1</v>
      </c>
      <c r="H25" s="14" t="s">
        <v>25</v>
      </c>
      <c r="I25" s="13">
        <v>7</v>
      </c>
      <c r="J25" s="14" t="s">
        <v>26</v>
      </c>
      <c r="K25" s="13">
        <v>10</v>
      </c>
      <c r="L25" s="13" t="s">
        <v>27</v>
      </c>
      <c r="M25" s="13" t="s">
        <v>28</v>
      </c>
      <c r="N25" s="13" t="s">
        <v>29</v>
      </c>
      <c r="O25" s="13" t="s">
        <v>29</v>
      </c>
      <c r="P25" s="13" t="s">
        <v>30</v>
      </c>
      <c r="Q25" s="14" t="s">
        <v>28</v>
      </c>
      <c r="R25" s="14" t="s">
        <v>31</v>
      </c>
      <c r="S25" s="14" t="s">
        <v>36</v>
      </c>
      <c r="T25" s="14" t="s">
        <v>37</v>
      </c>
    </row>
    <row r="26" ht="28" customHeight="1" spans="2:20" x14ac:dyDescent="0.25" outlineLevel="1" collapsed="1">
      <c r="B26" s="13">
        <v>17</v>
      </c>
      <c r="C26" s="13">
        <v>11</v>
      </c>
      <c r="D26" s="14" t="s">
        <v>34</v>
      </c>
      <c r="E26" s="15">
        <f>$C$5+TIME(C26,0,0)</f>
      </c>
      <c r="F26" s="14">
        <f>TEXT($C$5,"yyyy-mm-dd")&amp;"T"&amp;TEXT(C26,"00")&amp;":00:00+07:00"</f>
      </c>
      <c r="G26" s="13">
        <v>1</v>
      </c>
      <c r="H26" s="14" t="s">
        <v>25</v>
      </c>
      <c r="I26" s="13">
        <v>10</v>
      </c>
      <c r="J26" s="14" t="s">
        <v>35</v>
      </c>
      <c r="K26" s="13">
        <v>10</v>
      </c>
      <c r="L26" s="13" t="s">
        <v>27</v>
      </c>
      <c r="M26" s="13" t="s">
        <v>28</v>
      </c>
      <c r="N26" s="13" t="s">
        <v>29</v>
      </c>
      <c r="O26" s="13" t="s">
        <v>29</v>
      </c>
      <c r="P26" s="13" t="s">
        <v>30</v>
      </c>
      <c r="Q26" s="14" t="s">
        <v>28</v>
      </c>
      <c r="R26" s="14" t="s">
        <v>31</v>
      </c>
      <c r="S26" s="14" t="s">
        <v>52</v>
      </c>
      <c r="T26" s="14" t="s">
        <v>53</v>
      </c>
    </row>
    <row r="27" ht="28" customHeight="1" spans="2:20" x14ac:dyDescent="0.25" outlineLevel="1" collapsed="1">
      <c r="B27" s="13">
        <v>18</v>
      </c>
      <c r="C27" s="13">
        <v>11</v>
      </c>
      <c r="D27" s="14" t="s">
        <v>38</v>
      </c>
      <c r="E27" s="15">
        <f>$C$5+TIME(C27,0,0)</f>
      </c>
      <c r="F27" s="14">
        <f>TEXT($C$5,"yyyy-mm-dd")&amp;"T"&amp;TEXT(C27,"00")&amp;":00:00+07:00"</f>
      </c>
      <c r="G27" s="13">
        <v>1</v>
      </c>
      <c r="H27" s="14" t="s">
        <v>25</v>
      </c>
      <c r="I27" s="13">
        <v>7</v>
      </c>
      <c r="J27" s="14" t="s">
        <v>26</v>
      </c>
      <c r="K27" s="13">
        <v>10</v>
      </c>
      <c r="L27" s="13" t="s">
        <v>27</v>
      </c>
      <c r="M27" s="13" t="s">
        <v>28</v>
      </c>
      <c r="N27" s="13" t="s">
        <v>39</v>
      </c>
      <c r="O27" s="13" t="s">
        <v>29</v>
      </c>
      <c r="P27" s="13" t="s">
        <v>30</v>
      </c>
      <c r="Q27" s="14" t="s">
        <v>28</v>
      </c>
      <c r="R27" s="14" t="s">
        <v>40</v>
      </c>
      <c r="S27" s="14" t="s">
        <v>36</v>
      </c>
      <c r="T27" s="14" t="s">
        <v>37</v>
      </c>
    </row>
    <row r="28" ht="28" customHeight="1" spans="2:20" x14ac:dyDescent="0.25" outlineLevel="1" collapsed="1">
      <c r="B28" s="13">
        <v>19</v>
      </c>
      <c r="C28" s="13">
        <v>11</v>
      </c>
      <c r="D28" s="14" t="s">
        <v>43</v>
      </c>
      <c r="E28" s="15">
        <f>$C$5+TIME(C28,0,0)</f>
      </c>
      <c r="F28" s="14">
        <f>TEXT($C$5,"yyyy-mm-dd")&amp;"T"&amp;TEXT(C28,"00")&amp;":00:00+07:00"</f>
      </c>
      <c r="G28" s="13">
        <v>1</v>
      </c>
      <c r="H28" s="14" t="s">
        <v>25</v>
      </c>
      <c r="I28" s="13">
        <v>10</v>
      </c>
      <c r="J28" s="14" t="s">
        <v>35</v>
      </c>
      <c r="K28" s="13">
        <v>10</v>
      </c>
      <c r="L28" s="13" t="s">
        <v>27</v>
      </c>
      <c r="M28" s="13" t="s">
        <v>28</v>
      </c>
      <c r="N28" s="13" t="s">
        <v>39</v>
      </c>
      <c r="O28" s="13" t="s">
        <v>29</v>
      </c>
      <c r="P28" s="13" t="s">
        <v>30</v>
      </c>
      <c r="Q28" s="14" t="s">
        <v>28</v>
      </c>
      <c r="R28" s="14" t="s">
        <v>40</v>
      </c>
      <c r="S28" s="14" t="s">
        <v>36</v>
      </c>
      <c r="T28" s="14" t="s">
        <v>37</v>
      </c>
    </row>
    <row r="29" ht="28" customHeight="1" spans="2:20" x14ac:dyDescent="0.25" outlineLevel="1" collapsed="1">
      <c r="B29" s="13">
        <v>20</v>
      </c>
      <c r="C29" s="13">
        <v>11</v>
      </c>
      <c r="D29" s="14" t="s">
        <v>44</v>
      </c>
      <c r="E29" s="15">
        <f>$C$5+TIME(C29,0,0)</f>
      </c>
      <c r="F29" s="14">
        <f>TEXT($C$5,"yyyy-mm-dd")&amp;"T"&amp;TEXT(C29,"00")&amp;":00:00+07:00"</f>
      </c>
      <c r="G29" s="13">
        <v>1</v>
      </c>
      <c r="H29" s="14" t="s">
        <v>25</v>
      </c>
      <c r="I29" s="13">
        <v>7</v>
      </c>
      <c r="J29" s="14" t="s">
        <v>26</v>
      </c>
      <c r="K29" s="13">
        <v>6</v>
      </c>
      <c r="L29" s="13" t="s">
        <v>45</v>
      </c>
      <c r="M29" s="13" t="s">
        <v>28</v>
      </c>
      <c r="N29" s="13" t="s">
        <v>29</v>
      </c>
      <c r="O29" s="13" t="s">
        <v>29</v>
      </c>
      <c r="P29" s="13" t="s">
        <v>30</v>
      </c>
      <c r="Q29" s="14" t="s">
        <v>28</v>
      </c>
      <c r="R29" s="14" t="s">
        <v>46</v>
      </c>
      <c r="S29" s="14" t="s">
        <v>36</v>
      </c>
      <c r="T29" s="14" t="s">
        <v>37</v>
      </c>
    </row>
    <row r="30" ht="28" customHeight="1" spans="2:20" x14ac:dyDescent="0.25" outlineLevel="1" collapsed="1">
      <c r="B30" s="13">
        <v>21</v>
      </c>
      <c r="C30" s="13">
        <v>11</v>
      </c>
      <c r="D30" s="14" t="s">
        <v>49</v>
      </c>
      <c r="E30" s="15">
        <f>$C$5+TIME(C30,0,0)</f>
      </c>
      <c r="F30" s="14">
        <f>TEXT($C$5,"yyyy-mm-dd")&amp;"T"&amp;TEXT(C30,"00")&amp;":00:00+07:00"</f>
      </c>
      <c r="G30" s="13">
        <v>1</v>
      </c>
      <c r="H30" s="14" t="s">
        <v>25</v>
      </c>
      <c r="I30" s="13">
        <v>10</v>
      </c>
      <c r="J30" s="14" t="s">
        <v>35</v>
      </c>
      <c r="K30" s="13">
        <v>6</v>
      </c>
      <c r="L30" s="13" t="s">
        <v>45</v>
      </c>
      <c r="M30" s="13" t="s">
        <v>28</v>
      </c>
      <c r="N30" s="13" t="s">
        <v>29</v>
      </c>
      <c r="O30" s="13" t="s">
        <v>29</v>
      </c>
      <c r="P30" s="13" t="s">
        <v>30</v>
      </c>
      <c r="Q30" s="14" t="s">
        <v>28</v>
      </c>
      <c r="R30" s="14" t="s">
        <v>46</v>
      </c>
      <c r="S30" s="14" t="s">
        <v>52</v>
      </c>
      <c r="T30" s="14" t="s">
        <v>53</v>
      </c>
    </row>
    <row r="31" ht="28" customHeight="1" spans="2:20" x14ac:dyDescent="0.25" outlineLevel="1" collapsed="1">
      <c r="B31" s="13">
        <v>22</v>
      </c>
      <c r="C31" s="13">
        <v>11</v>
      </c>
      <c r="D31" s="14" t="s">
        <v>50</v>
      </c>
      <c r="E31" s="15">
        <f>$C$5+TIME(C31,0,0)</f>
      </c>
      <c r="F31" s="14">
        <f>TEXT($C$5,"yyyy-mm-dd")&amp;"T"&amp;TEXT(C31,"00")&amp;":00:00+07:00"</f>
      </c>
      <c r="G31" s="13">
        <v>1</v>
      </c>
      <c r="H31" s="14" t="s">
        <v>25</v>
      </c>
      <c r="I31" s="13">
        <v>7</v>
      </c>
      <c r="J31" s="14" t="s">
        <v>26</v>
      </c>
      <c r="K31" s="13">
        <v>6</v>
      </c>
      <c r="L31" s="13" t="s">
        <v>45</v>
      </c>
      <c r="M31" s="13" t="s">
        <v>28</v>
      </c>
      <c r="N31" s="13" t="s">
        <v>39</v>
      </c>
      <c r="O31" s="13" t="s">
        <v>29</v>
      </c>
      <c r="P31" s="13" t="s">
        <v>30</v>
      </c>
      <c r="Q31" s="14" t="s">
        <v>28</v>
      </c>
      <c r="R31" s="14" t="s">
        <v>51</v>
      </c>
      <c r="S31" s="14" t="s">
        <v>36</v>
      </c>
      <c r="T31" s="14" t="s">
        <v>37</v>
      </c>
    </row>
    <row r="32" ht="28" customHeight="1" spans="2:20" x14ac:dyDescent="0.25" outlineLevel="1" collapsed="1">
      <c r="B32" s="13">
        <v>23</v>
      </c>
      <c r="C32" s="13">
        <v>11</v>
      </c>
      <c r="D32" s="14" t="s">
        <v>54</v>
      </c>
      <c r="E32" s="15">
        <f>$C$5+TIME(C32,0,0)</f>
      </c>
      <c r="F32" s="14">
        <f>TEXT($C$5,"yyyy-mm-dd")&amp;"T"&amp;TEXT(C32,"00")&amp;":00:00+07:00"</f>
      </c>
      <c r="G32" s="13">
        <v>1</v>
      </c>
      <c r="H32" s="14" t="s">
        <v>25</v>
      </c>
      <c r="I32" s="13">
        <v>10</v>
      </c>
      <c r="J32" s="14" t="s">
        <v>35</v>
      </c>
      <c r="K32" s="13">
        <v>6</v>
      </c>
      <c r="L32" s="13" t="s">
        <v>45</v>
      </c>
      <c r="M32" s="13" t="s">
        <v>28</v>
      </c>
      <c r="N32" s="13" t="s">
        <v>39</v>
      </c>
      <c r="O32" s="13" t="s">
        <v>29</v>
      </c>
      <c r="P32" s="13" t="s">
        <v>30</v>
      </c>
      <c r="Q32" s="14" t="s">
        <v>28</v>
      </c>
      <c r="R32" s="14" t="s">
        <v>51</v>
      </c>
      <c r="S32" s="14" t="s">
        <v>66</v>
      </c>
      <c r="T32" s="14" t="s">
        <v>67</v>
      </c>
    </row>
    <row r="33" ht="28" customHeight="1" spans="2:20" x14ac:dyDescent="0.25" outlineLevel="1" collapsed="1">
      <c r="B33" s="13">
        <v>24</v>
      </c>
      <c r="C33" s="13">
        <v>11</v>
      </c>
      <c r="D33" s="14" t="s">
        <v>55</v>
      </c>
      <c r="E33" s="15">
        <f>$C$5+TIME(C33,0,0)</f>
      </c>
      <c r="F33" s="14">
        <f>TEXT($C$5,"yyyy-mm-dd")&amp;"T"&amp;TEXT(C33,"00")&amp;":00:00+07:00"</f>
      </c>
      <c r="G33" s="13">
        <v>1</v>
      </c>
      <c r="H33" s="14" t="s">
        <v>25</v>
      </c>
      <c r="I33" s="13">
        <v>7</v>
      </c>
      <c r="J33" s="14" t="s">
        <v>26</v>
      </c>
      <c r="K33" s="13">
        <v>8</v>
      </c>
      <c r="L33" s="13" t="s">
        <v>56</v>
      </c>
      <c r="M33" s="13">
        <v>50000</v>
      </c>
      <c r="N33" s="13" t="s">
        <v>29</v>
      </c>
      <c r="O33" s="13" t="s">
        <v>29</v>
      </c>
      <c r="P33" s="13" t="s">
        <v>30</v>
      </c>
      <c r="Q33" s="14" t="s">
        <v>28</v>
      </c>
      <c r="R33" s="14" t="s">
        <v>57</v>
      </c>
      <c r="S33" s="14" t="s">
        <v>47</v>
      </c>
      <c r="T33" s="14" t="s">
        <v>48</v>
      </c>
    </row>
    <row r="34" ht="28" customHeight="1" spans="2:20" x14ac:dyDescent="0.25" outlineLevel="1" collapsed="1">
      <c r="B34" s="13">
        <v>25</v>
      </c>
      <c r="C34" s="13">
        <v>11</v>
      </c>
      <c r="D34" s="14" t="s">
        <v>58</v>
      </c>
      <c r="E34" s="15">
        <f>$C$5+TIME(C34,0,0)</f>
      </c>
      <c r="F34" s="14">
        <f>TEXT($C$5,"yyyy-mm-dd")&amp;"T"&amp;TEXT(C34,"00")&amp;":00:00+07:00"</f>
      </c>
      <c r="G34" s="13">
        <v>1</v>
      </c>
      <c r="H34" s="14" t="s">
        <v>25</v>
      </c>
      <c r="I34" s="13">
        <v>10</v>
      </c>
      <c r="J34" s="14" t="s">
        <v>35</v>
      </c>
      <c r="K34" s="13">
        <v>8</v>
      </c>
      <c r="L34" s="13" t="s">
        <v>56</v>
      </c>
      <c r="M34" s="13">
        <v>70000</v>
      </c>
      <c r="N34" s="13" t="s">
        <v>29</v>
      </c>
      <c r="O34" s="13" t="s">
        <v>29</v>
      </c>
      <c r="P34" s="13" t="s">
        <v>30</v>
      </c>
      <c r="Q34" s="14" t="s">
        <v>28</v>
      </c>
      <c r="R34" s="14" t="s">
        <v>57</v>
      </c>
      <c r="S34" s="14" t="s">
        <v>32</v>
      </c>
      <c r="T34" s="14" t="s">
        <v>33</v>
      </c>
    </row>
    <row r="35" ht="28" customHeight="1" spans="2:20" x14ac:dyDescent="0.25" outlineLevel="1" collapsed="1">
      <c r="B35" s="13">
        <v>26</v>
      </c>
      <c r="C35" s="13">
        <v>11</v>
      </c>
      <c r="D35" s="14" t="s">
        <v>59</v>
      </c>
      <c r="E35" s="15">
        <f>$C$5+TIME(C35,0,0)</f>
      </c>
      <c r="F35" s="14">
        <f>TEXT($C$5,"yyyy-mm-dd")&amp;"T"&amp;TEXT(C35,"00")&amp;":00:00+07:00"</f>
      </c>
      <c r="G35" s="13">
        <v>1</v>
      </c>
      <c r="H35" s="14" t="s">
        <v>25</v>
      </c>
      <c r="I35" s="13">
        <v>7</v>
      </c>
      <c r="J35" s="14" t="s">
        <v>26</v>
      </c>
      <c r="K35" s="13">
        <v>8</v>
      </c>
      <c r="L35" s="13" t="s">
        <v>56</v>
      </c>
      <c r="M35" s="13">
        <v>50000</v>
      </c>
      <c r="N35" s="13" t="s">
        <v>39</v>
      </c>
      <c r="O35" s="13" t="s">
        <v>29</v>
      </c>
      <c r="P35" s="13" t="s">
        <v>30</v>
      </c>
      <c r="Q35" s="14" t="s">
        <v>28</v>
      </c>
      <c r="R35" s="14" t="s">
        <v>60</v>
      </c>
      <c r="S35" s="14" t="s">
        <v>32</v>
      </c>
      <c r="T35" s="14" t="s">
        <v>33</v>
      </c>
    </row>
    <row r="36" ht="28" customHeight="1" spans="2:20" x14ac:dyDescent="0.25" outlineLevel="1" collapsed="1">
      <c r="B36" s="13">
        <v>27</v>
      </c>
      <c r="C36" s="13">
        <v>11</v>
      </c>
      <c r="D36" s="14" t="s">
        <v>61</v>
      </c>
      <c r="E36" s="15">
        <f>$C$5+TIME(C36,0,0)</f>
      </c>
      <c r="F36" s="14">
        <f>TEXT($C$5,"yyyy-mm-dd")&amp;"T"&amp;TEXT(C36,"00")&amp;":00:00+07:00"</f>
      </c>
      <c r="G36" s="13">
        <v>1</v>
      </c>
      <c r="H36" s="14" t="s">
        <v>25</v>
      </c>
      <c r="I36" s="13">
        <v>10</v>
      </c>
      <c r="J36" s="14" t="s">
        <v>35</v>
      </c>
      <c r="K36" s="13">
        <v>8</v>
      </c>
      <c r="L36" s="13" t="s">
        <v>56</v>
      </c>
      <c r="M36" s="13">
        <v>70000</v>
      </c>
      <c r="N36" s="13" t="s">
        <v>39</v>
      </c>
      <c r="O36" s="13" t="s">
        <v>29</v>
      </c>
      <c r="P36" s="13" t="s">
        <v>30</v>
      </c>
      <c r="Q36" s="14" t="s">
        <v>28</v>
      </c>
      <c r="R36" s="14" t="s">
        <v>60</v>
      </c>
      <c r="S36" s="14" t="s">
        <v>66</v>
      </c>
      <c r="T36" s="14" t="s">
        <v>67</v>
      </c>
    </row>
    <row r="37" ht="46" customHeight="1" spans="2:20" x14ac:dyDescent="0.25" outlineLevel="1" collapsed="1">
      <c r="B37" s="13">
        <v>28</v>
      </c>
      <c r="C37" s="13">
        <v>11</v>
      </c>
      <c r="D37" s="14" t="s">
        <v>62</v>
      </c>
      <c r="E37" s="15">
        <f>$C$5+TIME(C37,0,0)</f>
      </c>
      <c r="F37" s="14">
        <f>TEXT($C$5,"yyyy-mm-dd")&amp;"T"&amp;TEXT(C37,"00")&amp;":00:00+07:00"</f>
      </c>
      <c r="G37" s="13">
        <v>1</v>
      </c>
      <c r="H37" s="14" t="s">
        <v>25</v>
      </c>
      <c r="I37" s="13">
        <v>7</v>
      </c>
      <c r="J37" s="14" t="s">
        <v>26</v>
      </c>
      <c r="K37" s="13">
        <v>10</v>
      </c>
      <c r="L37" s="13" t="s">
        <v>27</v>
      </c>
      <c r="M37" s="13" t="s">
        <v>28</v>
      </c>
      <c r="N37" s="13" t="s">
        <v>29</v>
      </c>
      <c r="O37" s="11" t="s">
        <v>29</v>
      </c>
      <c r="P37" s="11" t="s">
        <v>63</v>
      </c>
      <c r="Q37" s="12" t="s">
        <v>72</v>
      </c>
      <c r="R37" s="14" t="s">
        <v>65</v>
      </c>
      <c r="S37" s="14" t="s">
        <v>66</v>
      </c>
      <c r="T37" s="14" t="s">
        <v>67</v>
      </c>
    </row>
    <row r="38" ht="46" customHeight="1" spans="2:20" x14ac:dyDescent="0.25" outlineLevel="1" collapsed="1">
      <c r="B38" s="13">
        <v>29</v>
      </c>
      <c r="C38" s="13">
        <v>11</v>
      </c>
      <c r="D38" s="14" t="s">
        <v>68</v>
      </c>
      <c r="E38" s="15">
        <f>$C$5+TIME(C38,0,0)</f>
      </c>
      <c r="F38" s="14">
        <f>TEXT($C$5,"yyyy-mm-dd")&amp;"T"&amp;TEXT(C38,"00")&amp;":00:00+07:00"</f>
      </c>
      <c r="G38" s="13">
        <v>1</v>
      </c>
      <c r="H38" s="14" t="s">
        <v>25</v>
      </c>
      <c r="I38" s="13">
        <v>10</v>
      </c>
      <c r="J38" s="14" t="s">
        <v>35</v>
      </c>
      <c r="K38" s="13">
        <v>6</v>
      </c>
      <c r="L38" s="13" t="s">
        <v>45</v>
      </c>
      <c r="M38" s="13" t="s">
        <v>28</v>
      </c>
      <c r="N38" s="13" t="s">
        <v>39</v>
      </c>
      <c r="O38" s="11" t="s">
        <v>29</v>
      </c>
      <c r="P38" s="11" t="s">
        <v>63</v>
      </c>
      <c r="Q38" s="12" t="s">
        <v>73</v>
      </c>
      <c r="R38" s="14" t="s">
        <v>65</v>
      </c>
      <c r="S38" s="14" t="s">
        <v>52</v>
      </c>
      <c r="T38" s="14" t="s">
        <v>53</v>
      </c>
    </row>
    <row r="39" ht="46" customHeight="1" spans="2:20" x14ac:dyDescent="0.25" outlineLevel="1" collapsed="1">
      <c r="B39" s="13">
        <v>30</v>
      </c>
      <c r="C39" s="13">
        <v>11</v>
      </c>
      <c r="D39" s="14" t="s">
        <v>70</v>
      </c>
      <c r="E39" s="15">
        <f>$C$5+TIME(C39,0,0)</f>
      </c>
      <c r="F39" s="14">
        <f>TEXT($C$5,"yyyy-mm-dd")&amp;"T"&amp;TEXT(C39,"00")&amp;":00:00+07:00"</f>
      </c>
      <c r="G39" s="13">
        <v>1</v>
      </c>
      <c r="H39" s="14" t="s">
        <v>25</v>
      </c>
      <c r="I39" s="13">
        <v>7</v>
      </c>
      <c r="J39" s="14" t="s">
        <v>26</v>
      </c>
      <c r="K39" s="13">
        <v>8</v>
      </c>
      <c r="L39" s="13" t="s">
        <v>56</v>
      </c>
      <c r="M39" s="13">
        <v>50000</v>
      </c>
      <c r="N39" s="13" t="s">
        <v>29</v>
      </c>
      <c r="O39" s="11" t="s">
        <v>29</v>
      </c>
      <c r="P39" s="11" t="s">
        <v>63</v>
      </c>
      <c r="Q39" s="12" t="s">
        <v>74</v>
      </c>
      <c r="R39" s="14" t="s">
        <v>65</v>
      </c>
      <c r="S39" s="14" t="s">
        <v>47</v>
      </c>
      <c r="T39" s="14" t="s">
        <v>48</v>
      </c>
    </row>
    <row r="40" ht="28" customHeight="1" spans="2:20" x14ac:dyDescent="0.25" outlineLevel="1" collapsed="1">
      <c r="B40" s="8">
        <v>31</v>
      </c>
      <c r="C40" s="8">
        <v>15</v>
      </c>
      <c r="D40" s="9" t="s">
        <v>24</v>
      </c>
      <c r="E40" s="10">
        <f>$C$5+TIME(C40,0,0)</f>
      </c>
      <c r="F40" s="9">
        <f>TEXT($C$5,"yyyy-mm-dd")&amp;"T"&amp;TEXT(C40,"00")&amp;":00:00+07:00"</f>
      </c>
      <c r="G40" s="8">
        <v>1</v>
      </c>
      <c r="H40" s="9" t="s">
        <v>25</v>
      </c>
      <c r="I40" s="8">
        <v>7</v>
      </c>
      <c r="J40" s="9" t="s">
        <v>26</v>
      </c>
      <c r="K40" s="8">
        <v>10</v>
      </c>
      <c r="L40" s="8" t="s">
        <v>27</v>
      </c>
      <c r="M40" s="8" t="s">
        <v>28</v>
      </c>
      <c r="N40" s="8" t="s">
        <v>29</v>
      </c>
      <c r="O40" s="8" t="s">
        <v>29</v>
      </c>
      <c r="P40" s="8" t="s">
        <v>30</v>
      </c>
      <c r="Q40" s="9" t="s">
        <v>28</v>
      </c>
      <c r="R40" s="9" t="s">
        <v>31</v>
      </c>
      <c r="S40" s="9" t="s">
        <v>66</v>
      </c>
      <c r="T40" s="9" t="s">
        <v>67</v>
      </c>
    </row>
    <row r="41" ht="28" customHeight="1" spans="2:20" x14ac:dyDescent="0.25" outlineLevel="1" collapsed="1">
      <c r="B41" s="8">
        <v>32</v>
      </c>
      <c r="C41" s="8">
        <v>15</v>
      </c>
      <c r="D41" s="9" t="s">
        <v>34</v>
      </c>
      <c r="E41" s="10">
        <f>$C$5+TIME(C41,0,0)</f>
      </c>
      <c r="F41" s="9">
        <f>TEXT($C$5,"yyyy-mm-dd")&amp;"T"&amp;TEXT(C41,"00")&amp;":00:00+07:00"</f>
      </c>
      <c r="G41" s="8">
        <v>1</v>
      </c>
      <c r="H41" s="9" t="s">
        <v>25</v>
      </c>
      <c r="I41" s="8">
        <v>10</v>
      </c>
      <c r="J41" s="9" t="s">
        <v>35</v>
      </c>
      <c r="K41" s="8">
        <v>10</v>
      </c>
      <c r="L41" s="8" t="s">
        <v>27</v>
      </c>
      <c r="M41" s="8" t="s">
        <v>28</v>
      </c>
      <c r="N41" s="8" t="s">
        <v>29</v>
      </c>
      <c r="O41" s="8" t="s">
        <v>29</v>
      </c>
      <c r="P41" s="8" t="s">
        <v>30</v>
      </c>
      <c r="Q41" s="9" t="s">
        <v>28</v>
      </c>
      <c r="R41" s="9" t="s">
        <v>31</v>
      </c>
      <c r="S41" s="9" t="s">
        <v>36</v>
      </c>
      <c r="T41" s="9" t="s">
        <v>37</v>
      </c>
    </row>
    <row r="42" ht="28" customHeight="1" spans="2:20" x14ac:dyDescent="0.25" outlineLevel="1" collapsed="1">
      <c r="B42" s="8">
        <v>33</v>
      </c>
      <c r="C42" s="8">
        <v>15</v>
      </c>
      <c r="D42" s="9" t="s">
        <v>38</v>
      </c>
      <c r="E42" s="10">
        <f>$C$5+TIME(C42,0,0)</f>
      </c>
      <c r="F42" s="9">
        <f>TEXT($C$5,"yyyy-mm-dd")&amp;"T"&amp;TEXT(C42,"00")&amp;":00:00+07:00"</f>
      </c>
      <c r="G42" s="8">
        <v>1</v>
      </c>
      <c r="H42" s="9" t="s">
        <v>25</v>
      </c>
      <c r="I42" s="8">
        <v>7</v>
      </c>
      <c r="J42" s="9" t="s">
        <v>26</v>
      </c>
      <c r="K42" s="8">
        <v>10</v>
      </c>
      <c r="L42" s="8" t="s">
        <v>27</v>
      </c>
      <c r="M42" s="8" t="s">
        <v>28</v>
      </c>
      <c r="N42" s="8" t="s">
        <v>39</v>
      </c>
      <c r="O42" s="8" t="s">
        <v>29</v>
      </c>
      <c r="P42" s="8" t="s">
        <v>30</v>
      </c>
      <c r="Q42" s="9" t="s">
        <v>28</v>
      </c>
      <c r="R42" s="9" t="s">
        <v>40</v>
      </c>
      <c r="S42" s="9" t="s">
        <v>41</v>
      </c>
      <c r="T42" s="9" t="s">
        <v>42</v>
      </c>
    </row>
    <row r="43" ht="28" customHeight="1" spans="2:20" x14ac:dyDescent="0.25" outlineLevel="1" collapsed="1">
      <c r="B43" s="8">
        <v>34</v>
      </c>
      <c r="C43" s="8">
        <v>15</v>
      </c>
      <c r="D43" s="9" t="s">
        <v>43</v>
      </c>
      <c r="E43" s="10">
        <f>$C$5+TIME(C43,0,0)</f>
      </c>
      <c r="F43" s="9">
        <f>TEXT($C$5,"yyyy-mm-dd")&amp;"T"&amp;TEXT(C43,"00")&amp;":00:00+07:00"</f>
      </c>
      <c r="G43" s="8">
        <v>1</v>
      </c>
      <c r="H43" s="9" t="s">
        <v>25</v>
      </c>
      <c r="I43" s="8">
        <v>10</v>
      </c>
      <c r="J43" s="9" t="s">
        <v>35</v>
      </c>
      <c r="K43" s="8">
        <v>10</v>
      </c>
      <c r="L43" s="8" t="s">
        <v>27</v>
      </c>
      <c r="M43" s="8" t="s">
        <v>28</v>
      </c>
      <c r="N43" s="8" t="s">
        <v>39</v>
      </c>
      <c r="O43" s="8" t="s">
        <v>29</v>
      </c>
      <c r="P43" s="8" t="s">
        <v>30</v>
      </c>
      <c r="Q43" s="9" t="s">
        <v>28</v>
      </c>
      <c r="R43" s="9" t="s">
        <v>40</v>
      </c>
      <c r="S43" s="9" t="s">
        <v>52</v>
      </c>
      <c r="T43" s="9" t="s">
        <v>53</v>
      </c>
    </row>
    <row r="44" ht="28" customHeight="1" spans="2:20" x14ac:dyDescent="0.25" outlineLevel="1" collapsed="1">
      <c r="B44" s="8">
        <v>35</v>
      </c>
      <c r="C44" s="8">
        <v>15</v>
      </c>
      <c r="D44" s="9" t="s">
        <v>44</v>
      </c>
      <c r="E44" s="10">
        <f>$C$5+TIME(C44,0,0)</f>
      </c>
      <c r="F44" s="9">
        <f>TEXT($C$5,"yyyy-mm-dd")&amp;"T"&amp;TEXT(C44,"00")&amp;":00:00+07:00"</f>
      </c>
      <c r="G44" s="8">
        <v>1</v>
      </c>
      <c r="H44" s="9" t="s">
        <v>25</v>
      </c>
      <c r="I44" s="8">
        <v>7</v>
      </c>
      <c r="J44" s="9" t="s">
        <v>26</v>
      </c>
      <c r="K44" s="8">
        <v>6</v>
      </c>
      <c r="L44" s="8" t="s">
        <v>45</v>
      </c>
      <c r="M44" s="8" t="s">
        <v>28</v>
      </c>
      <c r="N44" s="8" t="s">
        <v>29</v>
      </c>
      <c r="O44" s="8" t="s">
        <v>29</v>
      </c>
      <c r="P44" s="8" t="s">
        <v>30</v>
      </c>
      <c r="Q44" s="9" t="s">
        <v>28</v>
      </c>
      <c r="R44" s="9" t="s">
        <v>46</v>
      </c>
      <c r="S44" s="9" t="s">
        <v>36</v>
      </c>
      <c r="T44" s="9" t="s">
        <v>37</v>
      </c>
    </row>
    <row r="45" ht="28" customHeight="1" spans="2:20" x14ac:dyDescent="0.25" outlineLevel="1" collapsed="1">
      <c r="B45" s="8">
        <v>36</v>
      </c>
      <c r="C45" s="8">
        <v>15</v>
      </c>
      <c r="D45" s="9" t="s">
        <v>49</v>
      </c>
      <c r="E45" s="10">
        <f>$C$5+TIME(C45,0,0)</f>
      </c>
      <c r="F45" s="9">
        <f>TEXT($C$5,"yyyy-mm-dd")&amp;"T"&amp;TEXT(C45,"00")&amp;":00:00+07:00"</f>
      </c>
      <c r="G45" s="8">
        <v>1</v>
      </c>
      <c r="H45" s="9" t="s">
        <v>25</v>
      </c>
      <c r="I45" s="8">
        <v>10</v>
      </c>
      <c r="J45" s="9" t="s">
        <v>35</v>
      </c>
      <c r="K45" s="8">
        <v>6</v>
      </c>
      <c r="L45" s="8" t="s">
        <v>45</v>
      </c>
      <c r="M45" s="8" t="s">
        <v>28</v>
      </c>
      <c r="N45" s="8" t="s">
        <v>29</v>
      </c>
      <c r="O45" s="8" t="s">
        <v>29</v>
      </c>
      <c r="P45" s="8" t="s">
        <v>30</v>
      </c>
      <c r="Q45" s="9" t="s">
        <v>28</v>
      </c>
      <c r="R45" s="9" t="s">
        <v>46</v>
      </c>
      <c r="S45" s="9" t="s">
        <v>66</v>
      </c>
      <c r="T45" s="9" t="s">
        <v>67</v>
      </c>
    </row>
    <row r="46" ht="28" customHeight="1" spans="2:20" x14ac:dyDescent="0.25" outlineLevel="1" collapsed="1">
      <c r="B46" s="8">
        <v>37</v>
      </c>
      <c r="C46" s="8">
        <v>15</v>
      </c>
      <c r="D46" s="9" t="s">
        <v>50</v>
      </c>
      <c r="E46" s="10">
        <f>$C$5+TIME(C46,0,0)</f>
      </c>
      <c r="F46" s="9">
        <f>TEXT($C$5,"yyyy-mm-dd")&amp;"T"&amp;TEXT(C46,"00")&amp;":00:00+07:00"</f>
      </c>
      <c r="G46" s="8">
        <v>1</v>
      </c>
      <c r="H46" s="9" t="s">
        <v>25</v>
      </c>
      <c r="I46" s="8">
        <v>7</v>
      </c>
      <c r="J46" s="9" t="s">
        <v>26</v>
      </c>
      <c r="K46" s="8">
        <v>6</v>
      </c>
      <c r="L46" s="8" t="s">
        <v>45</v>
      </c>
      <c r="M46" s="8" t="s">
        <v>28</v>
      </c>
      <c r="N46" s="8" t="s">
        <v>39</v>
      </c>
      <c r="O46" s="8" t="s">
        <v>29</v>
      </c>
      <c r="P46" s="8" t="s">
        <v>30</v>
      </c>
      <c r="Q46" s="9" t="s">
        <v>28</v>
      </c>
      <c r="R46" s="9" t="s">
        <v>51</v>
      </c>
      <c r="S46" s="9" t="s">
        <v>36</v>
      </c>
      <c r="T46" s="9" t="s">
        <v>37</v>
      </c>
    </row>
    <row r="47" ht="28" customHeight="1" spans="2:20" x14ac:dyDescent="0.25" outlineLevel="1" collapsed="1">
      <c r="B47" s="8">
        <v>38</v>
      </c>
      <c r="C47" s="8">
        <v>15</v>
      </c>
      <c r="D47" s="9" t="s">
        <v>54</v>
      </c>
      <c r="E47" s="10">
        <f>$C$5+TIME(C47,0,0)</f>
      </c>
      <c r="F47" s="9">
        <f>TEXT($C$5,"yyyy-mm-dd")&amp;"T"&amp;TEXT(C47,"00")&amp;":00:00+07:00"</f>
      </c>
      <c r="G47" s="8">
        <v>1</v>
      </c>
      <c r="H47" s="9" t="s">
        <v>25</v>
      </c>
      <c r="I47" s="8">
        <v>10</v>
      </c>
      <c r="J47" s="9" t="s">
        <v>35</v>
      </c>
      <c r="K47" s="8">
        <v>6</v>
      </c>
      <c r="L47" s="8" t="s">
        <v>45</v>
      </c>
      <c r="M47" s="8" t="s">
        <v>28</v>
      </c>
      <c r="N47" s="8" t="s">
        <v>39</v>
      </c>
      <c r="O47" s="8" t="s">
        <v>29</v>
      </c>
      <c r="P47" s="8" t="s">
        <v>30</v>
      </c>
      <c r="Q47" s="9" t="s">
        <v>28</v>
      </c>
      <c r="R47" s="9" t="s">
        <v>51</v>
      </c>
      <c r="S47" s="9" t="s">
        <v>66</v>
      </c>
      <c r="T47" s="9" t="s">
        <v>67</v>
      </c>
    </row>
    <row r="48" ht="28" customHeight="1" spans="2:20" x14ac:dyDescent="0.25" outlineLevel="1" collapsed="1">
      <c r="B48" s="8">
        <v>39</v>
      </c>
      <c r="C48" s="8">
        <v>15</v>
      </c>
      <c r="D48" s="9" t="s">
        <v>55</v>
      </c>
      <c r="E48" s="10">
        <f>$C$5+TIME(C48,0,0)</f>
      </c>
      <c r="F48" s="9">
        <f>TEXT($C$5,"yyyy-mm-dd")&amp;"T"&amp;TEXT(C48,"00")&amp;":00:00+07:00"</f>
      </c>
      <c r="G48" s="8">
        <v>1</v>
      </c>
      <c r="H48" s="9" t="s">
        <v>25</v>
      </c>
      <c r="I48" s="8">
        <v>7</v>
      </c>
      <c r="J48" s="9" t="s">
        <v>26</v>
      </c>
      <c r="K48" s="8">
        <v>8</v>
      </c>
      <c r="L48" s="8" t="s">
        <v>56</v>
      </c>
      <c r="M48" s="8">
        <v>50000</v>
      </c>
      <c r="N48" s="8" t="s">
        <v>29</v>
      </c>
      <c r="O48" s="8" t="s">
        <v>29</v>
      </c>
      <c r="P48" s="8" t="s">
        <v>30</v>
      </c>
      <c r="Q48" s="9" t="s">
        <v>28</v>
      </c>
      <c r="R48" s="9" t="s">
        <v>57</v>
      </c>
      <c r="S48" s="9" t="s">
        <v>47</v>
      </c>
      <c r="T48" s="9" t="s">
        <v>48</v>
      </c>
    </row>
    <row r="49" ht="28" customHeight="1" spans="2:20" x14ac:dyDescent="0.25" outlineLevel="1" collapsed="1">
      <c r="B49" s="8">
        <v>40</v>
      </c>
      <c r="C49" s="8">
        <v>15</v>
      </c>
      <c r="D49" s="9" t="s">
        <v>58</v>
      </c>
      <c r="E49" s="10">
        <f>$C$5+TIME(C49,0,0)</f>
      </c>
      <c r="F49" s="9">
        <f>TEXT($C$5,"yyyy-mm-dd")&amp;"T"&amp;TEXT(C49,"00")&amp;":00:00+07:00"</f>
      </c>
      <c r="G49" s="8">
        <v>1</v>
      </c>
      <c r="H49" s="9" t="s">
        <v>25</v>
      </c>
      <c r="I49" s="8">
        <v>10</v>
      </c>
      <c r="J49" s="9" t="s">
        <v>35</v>
      </c>
      <c r="K49" s="8">
        <v>8</v>
      </c>
      <c r="L49" s="8" t="s">
        <v>56</v>
      </c>
      <c r="M49" s="8">
        <v>70000</v>
      </c>
      <c r="N49" s="8" t="s">
        <v>29</v>
      </c>
      <c r="O49" s="8" t="s">
        <v>29</v>
      </c>
      <c r="P49" s="8" t="s">
        <v>30</v>
      </c>
      <c r="Q49" s="9" t="s">
        <v>28</v>
      </c>
      <c r="R49" s="9" t="s">
        <v>57</v>
      </c>
      <c r="S49" s="9" t="s">
        <v>47</v>
      </c>
      <c r="T49" s="9" t="s">
        <v>48</v>
      </c>
    </row>
    <row r="50" ht="28" customHeight="1" spans="2:20" x14ac:dyDescent="0.25" outlineLevel="1" collapsed="1">
      <c r="B50" s="8">
        <v>41</v>
      </c>
      <c r="C50" s="8">
        <v>15</v>
      </c>
      <c r="D50" s="9" t="s">
        <v>59</v>
      </c>
      <c r="E50" s="10">
        <f>$C$5+TIME(C50,0,0)</f>
      </c>
      <c r="F50" s="9">
        <f>TEXT($C$5,"yyyy-mm-dd")&amp;"T"&amp;TEXT(C50,"00")&amp;":00:00+07:00"</f>
      </c>
      <c r="G50" s="8">
        <v>1</v>
      </c>
      <c r="H50" s="9" t="s">
        <v>25</v>
      </c>
      <c r="I50" s="8">
        <v>7</v>
      </c>
      <c r="J50" s="9" t="s">
        <v>26</v>
      </c>
      <c r="K50" s="8">
        <v>8</v>
      </c>
      <c r="L50" s="8" t="s">
        <v>56</v>
      </c>
      <c r="M50" s="8">
        <v>50000</v>
      </c>
      <c r="N50" s="8" t="s">
        <v>39</v>
      </c>
      <c r="O50" s="8" t="s">
        <v>29</v>
      </c>
      <c r="P50" s="8" t="s">
        <v>30</v>
      </c>
      <c r="Q50" s="9" t="s">
        <v>28</v>
      </c>
      <c r="R50" s="9" t="s">
        <v>60</v>
      </c>
      <c r="S50" s="9" t="s">
        <v>47</v>
      </c>
      <c r="T50" s="9" t="s">
        <v>48</v>
      </c>
    </row>
    <row r="51" ht="28" customHeight="1" spans="2:20" x14ac:dyDescent="0.25" outlineLevel="1" collapsed="1">
      <c r="B51" s="8">
        <v>42</v>
      </c>
      <c r="C51" s="8">
        <v>15</v>
      </c>
      <c r="D51" s="9" t="s">
        <v>61</v>
      </c>
      <c r="E51" s="10">
        <f>$C$5+TIME(C51,0,0)</f>
      </c>
      <c r="F51" s="9">
        <f>TEXT($C$5,"yyyy-mm-dd")&amp;"T"&amp;TEXT(C51,"00")&amp;":00:00+07:00"</f>
      </c>
      <c r="G51" s="8">
        <v>1</v>
      </c>
      <c r="H51" s="9" t="s">
        <v>25</v>
      </c>
      <c r="I51" s="8">
        <v>10</v>
      </c>
      <c r="J51" s="9" t="s">
        <v>35</v>
      </c>
      <c r="K51" s="8">
        <v>8</v>
      </c>
      <c r="L51" s="8" t="s">
        <v>56</v>
      </c>
      <c r="M51" s="8">
        <v>70000</v>
      </c>
      <c r="N51" s="8" t="s">
        <v>39</v>
      </c>
      <c r="O51" s="8" t="s">
        <v>29</v>
      </c>
      <c r="P51" s="8" t="s">
        <v>30</v>
      </c>
      <c r="Q51" s="9" t="s">
        <v>28</v>
      </c>
      <c r="R51" s="9" t="s">
        <v>60</v>
      </c>
      <c r="S51" s="9" t="s">
        <v>66</v>
      </c>
      <c r="T51" s="9" t="s">
        <v>67</v>
      </c>
    </row>
    <row r="52" ht="46" customHeight="1" spans="2:20" x14ac:dyDescent="0.25" outlineLevel="1" collapsed="1">
      <c r="B52" s="8">
        <v>43</v>
      </c>
      <c r="C52" s="8">
        <v>15</v>
      </c>
      <c r="D52" s="9" t="s">
        <v>62</v>
      </c>
      <c r="E52" s="10">
        <f>$C$5+TIME(C52,0,0)</f>
      </c>
      <c r="F52" s="9">
        <f>TEXT($C$5,"yyyy-mm-dd")&amp;"T"&amp;TEXT(C52,"00")&amp;":00:00+07:00"</f>
      </c>
      <c r="G52" s="8">
        <v>1</v>
      </c>
      <c r="H52" s="9" t="s">
        <v>25</v>
      </c>
      <c r="I52" s="8">
        <v>7</v>
      </c>
      <c r="J52" s="9" t="s">
        <v>26</v>
      </c>
      <c r="K52" s="8">
        <v>10</v>
      </c>
      <c r="L52" s="8" t="s">
        <v>27</v>
      </c>
      <c r="M52" s="8" t="s">
        <v>28</v>
      </c>
      <c r="N52" s="8" t="s">
        <v>29</v>
      </c>
      <c r="O52" s="11" t="s">
        <v>29</v>
      </c>
      <c r="P52" s="11" t="s">
        <v>63</v>
      </c>
      <c r="Q52" s="12" t="s">
        <v>75</v>
      </c>
      <c r="R52" s="9" t="s">
        <v>65</v>
      </c>
      <c r="S52" s="9" t="s">
        <v>47</v>
      </c>
      <c r="T52" s="9" t="s">
        <v>48</v>
      </c>
    </row>
    <row r="53" ht="46" customHeight="1" spans="2:20" x14ac:dyDescent="0.25" outlineLevel="1" collapsed="1">
      <c r="B53" s="8">
        <v>44</v>
      </c>
      <c r="C53" s="8">
        <v>15</v>
      </c>
      <c r="D53" s="9" t="s">
        <v>68</v>
      </c>
      <c r="E53" s="10">
        <f>$C$5+TIME(C53,0,0)</f>
      </c>
      <c r="F53" s="9">
        <f>TEXT($C$5,"yyyy-mm-dd")&amp;"T"&amp;TEXT(C53,"00")&amp;":00:00+07:00"</f>
      </c>
      <c r="G53" s="8">
        <v>1</v>
      </c>
      <c r="H53" s="9" t="s">
        <v>25</v>
      </c>
      <c r="I53" s="8">
        <v>10</v>
      </c>
      <c r="J53" s="9" t="s">
        <v>35</v>
      </c>
      <c r="K53" s="8">
        <v>6</v>
      </c>
      <c r="L53" s="8" t="s">
        <v>45</v>
      </c>
      <c r="M53" s="8" t="s">
        <v>28</v>
      </c>
      <c r="N53" s="8" t="s">
        <v>39</v>
      </c>
      <c r="O53" s="11" t="s">
        <v>29</v>
      </c>
      <c r="P53" s="11" t="s">
        <v>63</v>
      </c>
      <c r="Q53" s="12" t="s">
        <v>76</v>
      </c>
      <c r="R53" s="9" t="s">
        <v>65</v>
      </c>
      <c r="S53" s="9" t="s">
        <v>66</v>
      </c>
      <c r="T53" s="9" t="s">
        <v>67</v>
      </c>
    </row>
    <row r="54" ht="46" customHeight="1" spans="2:20" x14ac:dyDescent="0.25" outlineLevel="1" collapsed="1">
      <c r="B54" s="8">
        <v>45</v>
      </c>
      <c r="C54" s="8">
        <v>15</v>
      </c>
      <c r="D54" s="9" t="s">
        <v>70</v>
      </c>
      <c r="E54" s="10">
        <f>$C$5+TIME(C54,0,0)</f>
      </c>
      <c r="F54" s="9">
        <f>TEXT($C$5,"yyyy-mm-dd")&amp;"T"&amp;TEXT(C54,"00")&amp;":00:00+07:00"</f>
      </c>
      <c r="G54" s="8">
        <v>1</v>
      </c>
      <c r="H54" s="9" t="s">
        <v>25</v>
      </c>
      <c r="I54" s="8">
        <v>7</v>
      </c>
      <c r="J54" s="9" t="s">
        <v>26</v>
      </c>
      <c r="K54" s="8">
        <v>8</v>
      </c>
      <c r="L54" s="8" t="s">
        <v>56</v>
      </c>
      <c r="M54" s="8">
        <v>50000</v>
      </c>
      <c r="N54" s="8" t="s">
        <v>29</v>
      </c>
      <c r="O54" s="11" t="s">
        <v>29</v>
      </c>
      <c r="P54" s="11" t="s">
        <v>63</v>
      </c>
      <c r="Q54" s="12" t="s">
        <v>77</v>
      </c>
      <c r="R54" s="9" t="s">
        <v>65</v>
      </c>
      <c r="S54" s="9" t="s">
        <v>32</v>
      </c>
      <c r="T54" s="9" t="s">
        <v>33</v>
      </c>
    </row>
    <row r="55" ht="28" customHeight="1" spans="2:20" x14ac:dyDescent="0.25" outlineLevel="1" collapsed="1">
      <c r="B55" s="13">
        <v>46</v>
      </c>
      <c r="C55" s="13">
        <v>19</v>
      </c>
      <c r="D55" s="14" t="s">
        <v>24</v>
      </c>
      <c r="E55" s="15">
        <f>$C$5+TIME(C55,0,0)</f>
      </c>
      <c r="F55" s="14">
        <f>TEXT($C$5,"yyyy-mm-dd")&amp;"T"&amp;TEXT(C55,"00")&amp;":00:00+07:00"</f>
      </c>
      <c r="G55" s="13">
        <v>1</v>
      </c>
      <c r="H55" s="14" t="s">
        <v>25</v>
      </c>
      <c r="I55" s="13">
        <v>7</v>
      </c>
      <c r="J55" s="14" t="s">
        <v>26</v>
      </c>
      <c r="K55" s="13">
        <v>10</v>
      </c>
      <c r="L55" s="13" t="s">
        <v>27</v>
      </c>
      <c r="M55" s="13" t="s">
        <v>28</v>
      </c>
      <c r="N55" s="13" t="s">
        <v>29</v>
      </c>
      <c r="O55" s="13" t="s">
        <v>29</v>
      </c>
      <c r="P55" s="13" t="s">
        <v>30</v>
      </c>
      <c r="Q55" s="14" t="s">
        <v>28</v>
      </c>
      <c r="R55" s="14" t="s">
        <v>31</v>
      </c>
      <c r="S55" s="14" t="s">
        <v>52</v>
      </c>
      <c r="T55" s="14" t="s">
        <v>53</v>
      </c>
    </row>
    <row r="56" ht="28" customHeight="1" spans="2:20" x14ac:dyDescent="0.25" outlineLevel="1" collapsed="1">
      <c r="B56" s="13">
        <v>47</v>
      </c>
      <c r="C56" s="13">
        <v>19</v>
      </c>
      <c r="D56" s="14" t="s">
        <v>34</v>
      </c>
      <c r="E56" s="15">
        <f>$C$5+TIME(C56,0,0)</f>
      </c>
      <c r="F56" s="14">
        <f>TEXT($C$5,"yyyy-mm-dd")&amp;"T"&amp;TEXT(C56,"00")&amp;":00:00+07:00"</f>
      </c>
      <c r="G56" s="13">
        <v>1</v>
      </c>
      <c r="H56" s="14" t="s">
        <v>25</v>
      </c>
      <c r="I56" s="13">
        <v>10</v>
      </c>
      <c r="J56" s="14" t="s">
        <v>35</v>
      </c>
      <c r="K56" s="13">
        <v>10</v>
      </c>
      <c r="L56" s="13" t="s">
        <v>27</v>
      </c>
      <c r="M56" s="13" t="s">
        <v>28</v>
      </c>
      <c r="N56" s="13" t="s">
        <v>29</v>
      </c>
      <c r="O56" s="13" t="s">
        <v>29</v>
      </c>
      <c r="P56" s="13" t="s">
        <v>30</v>
      </c>
      <c r="Q56" s="14" t="s">
        <v>28</v>
      </c>
      <c r="R56" s="14" t="s">
        <v>31</v>
      </c>
      <c r="S56" s="14" t="s">
        <v>36</v>
      </c>
      <c r="T56" s="14" t="s">
        <v>37</v>
      </c>
    </row>
    <row r="57" ht="28" customHeight="1" spans="2:20" x14ac:dyDescent="0.25" outlineLevel="1" collapsed="1">
      <c r="B57" s="13">
        <v>48</v>
      </c>
      <c r="C57" s="13">
        <v>19</v>
      </c>
      <c r="D57" s="14" t="s">
        <v>38</v>
      </c>
      <c r="E57" s="15">
        <f>$C$5+TIME(C57,0,0)</f>
      </c>
      <c r="F57" s="14">
        <f>TEXT($C$5,"yyyy-mm-dd")&amp;"T"&amp;TEXT(C57,"00")&amp;":00:00+07:00"</f>
      </c>
      <c r="G57" s="13">
        <v>1</v>
      </c>
      <c r="H57" s="14" t="s">
        <v>25</v>
      </c>
      <c r="I57" s="13">
        <v>7</v>
      </c>
      <c r="J57" s="14" t="s">
        <v>26</v>
      </c>
      <c r="K57" s="13">
        <v>10</v>
      </c>
      <c r="L57" s="13" t="s">
        <v>27</v>
      </c>
      <c r="M57" s="13" t="s">
        <v>28</v>
      </c>
      <c r="N57" s="13" t="s">
        <v>39</v>
      </c>
      <c r="O57" s="13" t="s">
        <v>29</v>
      </c>
      <c r="P57" s="13" t="s">
        <v>30</v>
      </c>
      <c r="Q57" s="14" t="s">
        <v>28</v>
      </c>
      <c r="R57" s="14" t="s">
        <v>40</v>
      </c>
      <c r="S57" s="14" t="s">
        <v>32</v>
      </c>
      <c r="T57" s="14" t="s">
        <v>33</v>
      </c>
    </row>
    <row r="58" ht="28" customHeight="1" spans="2:20" x14ac:dyDescent="0.25" outlineLevel="1" collapsed="1">
      <c r="B58" s="13">
        <v>49</v>
      </c>
      <c r="C58" s="13">
        <v>19</v>
      </c>
      <c r="D58" s="14" t="s">
        <v>43</v>
      </c>
      <c r="E58" s="15">
        <f>$C$5+TIME(C58,0,0)</f>
      </c>
      <c r="F58" s="14">
        <f>TEXT($C$5,"yyyy-mm-dd")&amp;"T"&amp;TEXT(C58,"00")&amp;":00:00+07:00"</f>
      </c>
      <c r="G58" s="13">
        <v>1</v>
      </c>
      <c r="H58" s="14" t="s">
        <v>25</v>
      </c>
      <c r="I58" s="13">
        <v>10</v>
      </c>
      <c r="J58" s="14" t="s">
        <v>35</v>
      </c>
      <c r="K58" s="13">
        <v>10</v>
      </c>
      <c r="L58" s="13" t="s">
        <v>27</v>
      </c>
      <c r="M58" s="13" t="s">
        <v>28</v>
      </c>
      <c r="N58" s="13" t="s">
        <v>39</v>
      </c>
      <c r="O58" s="13" t="s">
        <v>29</v>
      </c>
      <c r="P58" s="13" t="s">
        <v>30</v>
      </c>
      <c r="Q58" s="14" t="s">
        <v>28</v>
      </c>
      <c r="R58" s="14" t="s">
        <v>40</v>
      </c>
      <c r="S58" s="14" t="s">
        <v>32</v>
      </c>
      <c r="T58" s="14" t="s">
        <v>33</v>
      </c>
    </row>
    <row r="59" ht="28" customHeight="1" spans="2:20" x14ac:dyDescent="0.25" outlineLevel="1" collapsed="1">
      <c r="B59" s="13">
        <v>50</v>
      </c>
      <c r="C59" s="13">
        <v>19</v>
      </c>
      <c r="D59" s="14" t="s">
        <v>44</v>
      </c>
      <c r="E59" s="15">
        <f>$C$5+TIME(C59,0,0)</f>
      </c>
      <c r="F59" s="14">
        <f>TEXT($C$5,"yyyy-mm-dd")&amp;"T"&amp;TEXT(C59,"00")&amp;":00:00+07:00"</f>
      </c>
      <c r="G59" s="13">
        <v>1</v>
      </c>
      <c r="H59" s="14" t="s">
        <v>25</v>
      </c>
      <c r="I59" s="13">
        <v>7</v>
      </c>
      <c r="J59" s="14" t="s">
        <v>26</v>
      </c>
      <c r="K59" s="13">
        <v>6</v>
      </c>
      <c r="L59" s="13" t="s">
        <v>45</v>
      </c>
      <c r="M59" s="13" t="s">
        <v>28</v>
      </c>
      <c r="N59" s="13" t="s">
        <v>29</v>
      </c>
      <c r="O59" s="13" t="s">
        <v>29</v>
      </c>
      <c r="P59" s="13" t="s">
        <v>30</v>
      </c>
      <c r="Q59" s="14" t="s">
        <v>28</v>
      </c>
      <c r="R59" s="14" t="s">
        <v>46</v>
      </c>
      <c r="S59" s="14" t="s">
        <v>52</v>
      </c>
      <c r="T59" s="14" t="s">
        <v>53</v>
      </c>
    </row>
    <row r="60" ht="28" customHeight="1" spans="2:20" x14ac:dyDescent="0.25" outlineLevel="1" collapsed="1">
      <c r="B60" s="13">
        <v>51</v>
      </c>
      <c r="C60" s="13">
        <v>19</v>
      </c>
      <c r="D60" s="14" t="s">
        <v>49</v>
      </c>
      <c r="E60" s="15">
        <f>$C$5+TIME(C60,0,0)</f>
      </c>
      <c r="F60" s="14">
        <f>TEXT($C$5,"yyyy-mm-dd")&amp;"T"&amp;TEXT(C60,"00")&amp;":00:00+07:00"</f>
      </c>
      <c r="G60" s="13">
        <v>1</v>
      </c>
      <c r="H60" s="14" t="s">
        <v>25</v>
      </c>
      <c r="I60" s="13">
        <v>10</v>
      </c>
      <c r="J60" s="14" t="s">
        <v>35</v>
      </c>
      <c r="K60" s="13">
        <v>6</v>
      </c>
      <c r="L60" s="13" t="s">
        <v>45</v>
      </c>
      <c r="M60" s="13" t="s">
        <v>28</v>
      </c>
      <c r="N60" s="13" t="s">
        <v>29</v>
      </c>
      <c r="O60" s="13" t="s">
        <v>29</v>
      </c>
      <c r="P60" s="13" t="s">
        <v>30</v>
      </c>
      <c r="Q60" s="14" t="s">
        <v>28</v>
      </c>
      <c r="R60" s="14" t="s">
        <v>46</v>
      </c>
      <c r="S60" s="14" t="s">
        <v>52</v>
      </c>
      <c r="T60" s="14" t="s">
        <v>53</v>
      </c>
    </row>
    <row r="61" ht="28" customHeight="1" spans="2:20" x14ac:dyDescent="0.25" outlineLevel="1" collapsed="1">
      <c r="B61" s="13">
        <v>52</v>
      </c>
      <c r="C61" s="13">
        <v>19</v>
      </c>
      <c r="D61" s="14" t="s">
        <v>50</v>
      </c>
      <c r="E61" s="15">
        <f>$C$5+TIME(C61,0,0)</f>
      </c>
      <c r="F61" s="14">
        <f>TEXT($C$5,"yyyy-mm-dd")&amp;"T"&amp;TEXT(C61,"00")&amp;":00:00+07:00"</f>
      </c>
      <c r="G61" s="13">
        <v>1</v>
      </c>
      <c r="H61" s="14" t="s">
        <v>25</v>
      </c>
      <c r="I61" s="13">
        <v>7</v>
      </c>
      <c r="J61" s="14" t="s">
        <v>26</v>
      </c>
      <c r="K61" s="13">
        <v>6</v>
      </c>
      <c r="L61" s="13" t="s">
        <v>45</v>
      </c>
      <c r="M61" s="13" t="s">
        <v>28</v>
      </c>
      <c r="N61" s="13" t="s">
        <v>39</v>
      </c>
      <c r="O61" s="13" t="s">
        <v>29</v>
      </c>
      <c r="P61" s="13" t="s">
        <v>30</v>
      </c>
      <c r="Q61" s="14" t="s">
        <v>28</v>
      </c>
      <c r="R61" s="14" t="s">
        <v>51</v>
      </c>
      <c r="S61" s="14" t="s">
        <v>52</v>
      </c>
      <c r="T61" s="14" t="s">
        <v>53</v>
      </c>
    </row>
    <row r="62" ht="28" customHeight="1" spans="2:20" x14ac:dyDescent="0.25" outlineLevel="1" collapsed="1">
      <c r="B62" s="13">
        <v>53</v>
      </c>
      <c r="C62" s="13">
        <v>19</v>
      </c>
      <c r="D62" s="14" t="s">
        <v>54</v>
      </c>
      <c r="E62" s="15">
        <f>$C$5+TIME(C62,0,0)</f>
      </c>
      <c r="F62" s="14">
        <f>TEXT($C$5,"yyyy-mm-dd")&amp;"T"&amp;TEXT(C62,"00")&amp;":00:00+07:00"</f>
      </c>
      <c r="G62" s="13">
        <v>1</v>
      </c>
      <c r="H62" s="14" t="s">
        <v>25</v>
      </c>
      <c r="I62" s="13">
        <v>10</v>
      </c>
      <c r="J62" s="14" t="s">
        <v>35</v>
      </c>
      <c r="K62" s="13">
        <v>6</v>
      </c>
      <c r="L62" s="13" t="s">
        <v>45</v>
      </c>
      <c r="M62" s="13" t="s">
        <v>28</v>
      </c>
      <c r="N62" s="13" t="s">
        <v>39</v>
      </c>
      <c r="O62" s="13" t="s">
        <v>29</v>
      </c>
      <c r="P62" s="13" t="s">
        <v>30</v>
      </c>
      <c r="Q62" s="14" t="s">
        <v>28</v>
      </c>
      <c r="R62" s="14" t="s">
        <v>51</v>
      </c>
      <c r="S62" s="14" t="s">
        <v>32</v>
      </c>
      <c r="T62" s="14" t="s">
        <v>33</v>
      </c>
    </row>
    <row r="63" ht="28" customHeight="1" spans="2:20" x14ac:dyDescent="0.25" outlineLevel="1" collapsed="1">
      <c r="B63" s="13">
        <v>54</v>
      </c>
      <c r="C63" s="13">
        <v>19</v>
      </c>
      <c r="D63" s="14" t="s">
        <v>55</v>
      </c>
      <c r="E63" s="15">
        <f>$C$5+TIME(C63,0,0)</f>
      </c>
      <c r="F63" s="14">
        <f>TEXT($C$5,"yyyy-mm-dd")&amp;"T"&amp;TEXT(C63,"00")&amp;":00:00+07:00"</f>
      </c>
      <c r="G63" s="13">
        <v>1</v>
      </c>
      <c r="H63" s="14" t="s">
        <v>25</v>
      </c>
      <c r="I63" s="13">
        <v>7</v>
      </c>
      <c r="J63" s="14" t="s">
        <v>26</v>
      </c>
      <c r="K63" s="13">
        <v>8</v>
      </c>
      <c r="L63" s="13" t="s">
        <v>56</v>
      </c>
      <c r="M63" s="13">
        <v>50000</v>
      </c>
      <c r="N63" s="13" t="s">
        <v>29</v>
      </c>
      <c r="O63" s="13" t="s">
        <v>29</v>
      </c>
      <c r="P63" s="13" t="s">
        <v>30</v>
      </c>
      <c r="Q63" s="14" t="s">
        <v>28</v>
      </c>
      <c r="R63" s="14" t="s">
        <v>57</v>
      </c>
      <c r="S63" s="14" t="s">
        <v>32</v>
      </c>
      <c r="T63" s="14" t="s">
        <v>33</v>
      </c>
    </row>
    <row r="64" ht="28" customHeight="1" spans="2:20" x14ac:dyDescent="0.25" outlineLevel="1" collapsed="1">
      <c r="B64" s="13">
        <v>55</v>
      </c>
      <c r="C64" s="13">
        <v>19</v>
      </c>
      <c r="D64" s="14" t="s">
        <v>58</v>
      </c>
      <c r="E64" s="15">
        <f>$C$5+TIME(C64,0,0)</f>
      </c>
      <c r="F64" s="14">
        <f>TEXT($C$5,"yyyy-mm-dd")&amp;"T"&amp;TEXT(C64,"00")&amp;":00:00+07:00"</f>
      </c>
      <c r="G64" s="13">
        <v>1</v>
      </c>
      <c r="H64" s="14" t="s">
        <v>25</v>
      </c>
      <c r="I64" s="13">
        <v>10</v>
      </c>
      <c r="J64" s="14" t="s">
        <v>35</v>
      </c>
      <c r="K64" s="13">
        <v>8</v>
      </c>
      <c r="L64" s="13" t="s">
        <v>56</v>
      </c>
      <c r="M64" s="13">
        <v>70000</v>
      </c>
      <c r="N64" s="13" t="s">
        <v>29</v>
      </c>
      <c r="O64" s="13" t="s">
        <v>29</v>
      </c>
      <c r="P64" s="13" t="s">
        <v>30</v>
      </c>
      <c r="Q64" s="14" t="s">
        <v>28</v>
      </c>
      <c r="R64" s="14" t="s">
        <v>57</v>
      </c>
      <c r="S64" s="14" t="s">
        <v>32</v>
      </c>
      <c r="T64" s="14" t="s">
        <v>33</v>
      </c>
    </row>
    <row r="65" ht="28" customHeight="1" spans="2:20" x14ac:dyDescent="0.25" outlineLevel="1" collapsed="1">
      <c r="B65" s="13">
        <v>56</v>
      </c>
      <c r="C65" s="13">
        <v>19</v>
      </c>
      <c r="D65" s="14" t="s">
        <v>59</v>
      </c>
      <c r="E65" s="15">
        <f>$C$5+TIME(C65,0,0)</f>
      </c>
      <c r="F65" s="14">
        <f>TEXT($C$5,"yyyy-mm-dd")&amp;"T"&amp;TEXT(C65,"00")&amp;":00:00+07:00"</f>
      </c>
      <c r="G65" s="13">
        <v>1</v>
      </c>
      <c r="H65" s="14" t="s">
        <v>25</v>
      </c>
      <c r="I65" s="13">
        <v>7</v>
      </c>
      <c r="J65" s="14" t="s">
        <v>26</v>
      </c>
      <c r="K65" s="13">
        <v>8</v>
      </c>
      <c r="L65" s="13" t="s">
        <v>56</v>
      </c>
      <c r="M65" s="13">
        <v>50000</v>
      </c>
      <c r="N65" s="13" t="s">
        <v>39</v>
      </c>
      <c r="O65" s="13" t="s">
        <v>29</v>
      </c>
      <c r="P65" s="13" t="s">
        <v>30</v>
      </c>
      <c r="Q65" s="14" t="s">
        <v>28</v>
      </c>
      <c r="R65" s="14" t="s">
        <v>60</v>
      </c>
      <c r="S65" s="14" t="s">
        <v>47</v>
      </c>
      <c r="T65" s="14" t="s">
        <v>48</v>
      </c>
    </row>
    <row r="66" ht="28" customHeight="1" spans="2:20" x14ac:dyDescent="0.25" outlineLevel="1" collapsed="1">
      <c r="B66" s="13">
        <v>57</v>
      </c>
      <c r="C66" s="13">
        <v>19</v>
      </c>
      <c r="D66" s="14" t="s">
        <v>61</v>
      </c>
      <c r="E66" s="15">
        <f>$C$5+TIME(C66,0,0)</f>
      </c>
      <c r="F66" s="14">
        <f>TEXT($C$5,"yyyy-mm-dd")&amp;"T"&amp;TEXT(C66,"00")&amp;":00:00+07:00"</f>
      </c>
      <c r="G66" s="13">
        <v>1</v>
      </c>
      <c r="H66" s="14" t="s">
        <v>25</v>
      </c>
      <c r="I66" s="13">
        <v>10</v>
      </c>
      <c r="J66" s="14" t="s">
        <v>35</v>
      </c>
      <c r="K66" s="13">
        <v>8</v>
      </c>
      <c r="L66" s="13" t="s">
        <v>56</v>
      </c>
      <c r="M66" s="13">
        <v>70000</v>
      </c>
      <c r="N66" s="13" t="s">
        <v>39</v>
      </c>
      <c r="O66" s="13" t="s">
        <v>29</v>
      </c>
      <c r="P66" s="13" t="s">
        <v>30</v>
      </c>
      <c r="Q66" s="14" t="s">
        <v>28</v>
      </c>
      <c r="R66" s="14" t="s">
        <v>60</v>
      </c>
      <c r="S66" s="14" t="s">
        <v>47</v>
      </c>
      <c r="T66" s="14" t="s">
        <v>48</v>
      </c>
    </row>
    <row r="67" ht="46" customHeight="1" spans="2:20" x14ac:dyDescent="0.25" outlineLevel="1" collapsed="1">
      <c r="B67" s="13">
        <v>58</v>
      </c>
      <c r="C67" s="13">
        <v>19</v>
      </c>
      <c r="D67" s="14" t="s">
        <v>62</v>
      </c>
      <c r="E67" s="15">
        <f>$C$5+TIME(C67,0,0)</f>
      </c>
      <c r="F67" s="14">
        <f>TEXT($C$5,"yyyy-mm-dd")&amp;"T"&amp;TEXT(C67,"00")&amp;":00:00+07:00"</f>
      </c>
      <c r="G67" s="13">
        <v>1</v>
      </c>
      <c r="H67" s="14" t="s">
        <v>25</v>
      </c>
      <c r="I67" s="13">
        <v>7</v>
      </c>
      <c r="J67" s="14" t="s">
        <v>26</v>
      </c>
      <c r="K67" s="13">
        <v>10</v>
      </c>
      <c r="L67" s="13" t="s">
        <v>27</v>
      </c>
      <c r="M67" s="13" t="s">
        <v>28</v>
      </c>
      <c r="N67" s="13" t="s">
        <v>29</v>
      </c>
      <c r="O67" s="11" t="s">
        <v>29</v>
      </c>
      <c r="P67" s="11" t="s">
        <v>63</v>
      </c>
      <c r="Q67" s="12" t="s">
        <v>78</v>
      </c>
      <c r="R67" s="14" t="s">
        <v>65</v>
      </c>
      <c r="S67" s="14" t="s">
        <v>41</v>
      </c>
      <c r="T67" s="14" t="s">
        <v>42</v>
      </c>
    </row>
    <row r="68" ht="46" customHeight="1" spans="2:20" x14ac:dyDescent="0.25" outlineLevel="1" collapsed="1">
      <c r="B68" s="13">
        <v>59</v>
      </c>
      <c r="C68" s="13">
        <v>19</v>
      </c>
      <c r="D68" s="14" t="s">
        <v>68</v>
      </c>
      <c r="E68" s="15">
        <f>$C$5+TIME(C68,0,0)</f>
      </c>
      <c r="F68" s="14">
        <f>TEXT($C$5,"yyyy-mm-dd")&amp;"T"&amp;TEXT(C68,"00")&amp;":00:00+07:00"</f>
      </c>
      <c r="G68" s="13">
        <v>1</v>
      </c>
      <c r="H68" s="14" t="s">
        <v>25</v>
      </c>
      <c r="I68" s="13">
        <v>10</v>
      </c>
      <c r="J68" s="14" t="s">
        <v>35</v>
      </c>
      <c r="K68" s="13">
        <v>6</v>
      </c>
      <c r="L68" s="13" t="s">
        <v>45</v>
      </c>
      <c r="M68" s="13" t="s">
        <v>28</v>
      </c>
      <c r="N68" s="13" t="s">
        <v>39</v>
      </c>
      <c r="O68" s="11" t="s">
        <v>29</v>
      </c>
      <c r="P68" s="11" t="s">
        <v>63</v>
      </c>
      <c r="Q68" s="12" t="s">
        <v>79</v>
      </c>
      <c r="R68" s="14" t="s">
        <v>65</v>
      </c>
      <c r="S68" s="14" t="s">
        <v>66</v>
      </c>
      <c r="T68" s="14" t="s">
        <v>67</v>
      </c>
    </row>
    <row r="69" ht="46" customHeight="1" spans="2:20" x14ac:dyDescent="0.25" outlineLevel="1" collapsed="1">
      <c r="B69" s="13">
        <v>60</v>
      </c>
      <c r="C69" s="13">
        <v>19</v>
      </c>
      <c r="D69" s="14" t="s">
        <v>70</v>
      </c>
      <c r="E69" s="15">
        <f>$C$5+TIME(C69,0,0)</f>
      </c>
      <c r="F69" s="14">
        <f>TEXT($C$5,"yyyy-mm-dd")&amp;"T"&amp;TEXT(C69,"00")&amp;":00:00+07:00"</f>
      </c>
      <c r="G69" s="13">
        <v>1</v>
      </c>
      <c r="H69" s="14" t="s">
        <v>25</v>
      </c>
      <c r="I69" s="13">
        <v>7</v>
      </c>
      <c r="J69" s="14" t="s">
        <v>26</v>
      </c>
      <c r="K69" s="13">
        <v>8</v>
      </c>
      <c r="L69" s="13" t="s">
        <v>56</v>
      </c>
      <c r="M69" s="13">
        <v>50000</v>
      </c>
      <c r="N69" s="13" t="s">
        <v>29</v>
      </c>
      <c r="O69" s="11" t="s">
        <v>29</v>
      </c>
      <c r="P69" s="11" t="s">
        <v>63</v>
      </c>
      <c r="Q69" s="12" t="s">
        <v>80</v>
      </c>
      <c r="R69" s="14" t="s">
        <v>65</v>
      </c>
      <c r="S69" s="14" t="s">
        <v>41</v>
      </c>
      <c r="T69" s="14" t="s">
        <v>42</v>
      </c>
    </row>
    <row r="70" ht="28" customHeight="1" spans="2:20" x14ac:dyDescent="0.25" outlineLevel="1" collapsed="1">
      <c r="B70" s="8">
        <v>61</v>
      </c>
      <c r="C70" s="8">
        <v>23</v>
      </c>
      <c r="D70" s="9" t="s">
        <v>24</v>
      </c>
      <c r="E70" s="10">
        <f>$C$5+TIME(C70,0,0)</f>
      </c>
      <c r="F70" s="9">
        <f>TEXT($C$5,"yyyy-mm-dd")&amp;"T"&amp;TEXT(C70,"00")&amp;":00:00+07:00"</f>
      </c>
      <c r="G70" s="8">
        <v>1</v>
      </c>
      <c r="H70" s="9" t="s">
        <v>25</v>
      </c>
      <c r="I70" s="8">
        <v>7</v>
      </c>
      <c r="J70" s="9" t="s">
        <v>26</v>
      </c>
      <c r="K70" s="8">
        <v>10</v>
      </c>
      <c r="L70" s="8" t="s">
        <v>27</v>
      </c>
      <c r="M70" s="8" t="s">
        <v>28</v>
      </c>
      <c r="N70" s="8" t="s">
        <v>29</v>
      </c>
      <c r="O70" s="8" t="s">
        <v>29</v>
      </c>
      <c r="P70" s="8" t="s">
        <v>30</v>
      </c>
      <c r="Q70" s="9" t="s">
        <v>28</v>
      </c>
      <c r="R70" s="9" t="s">
        <v>31</v>
      </c>
      <c r="S70" s="9" t="s">
        <v>66</v>
      </c>
      <c r="T70" s="9" t="s">
        <v>67</v>
      </c>
    </row>
    <row r="71" ht="28" customHeight="1" spans="2:20" x14ac:dyDescent="0.25" outlineLevel="1" collapsed="1">
      <c r="B71" s="8">
        <v>62</v>
      </c>
      <c r="C71" s="8">
        <v>23</v>
      </c>
      <c r="D71" s="9" t="s">
        <v>34</v>
      </c>
      <c r="E71" s="10">
        <f>$C$5+TIME(C71,0,0)</f>
      </c>
      <c r="F71" s="9">
        <f>TEXT($C$5,"yyyy-mm-dd")&amp;"T"&amp;TEXT(C71,"00")&amp;":00:00+07:00"</f>
      </c>
      <c r="G71" s="8">
        <v>1</v>
      </c>
      <c r="H71" s="9" t="s">
        <v>25</v>
      </c>
      <c r="I71" s="8">
        <v>10</v>
      </c>
      <c r="J71" s="9" t="s">
        <v>35</v>
      </c>
      <c r="K71" s="8">
        <v>10</v>
      </c>
      <c r="L71" s="8" t="s">
        <v>27</v>
      </c>
      <c r="M71" s="8" t="s">
        <v>28</v>
      </c>
      <c r="N71" s="8" t="s">
        <v>29</v>
      </c>
      <c r="O71" s="8" t="s">
        <v>29</v>
      </c>
      <c r="P71" s="8" t="s">
        <v>30</v>
      </c>
      <c r="Q71" s="9" t="s">
        <v>28</v>
      </c>
      <c r="R71" s="9" t="s">
        <v>31</v>
      </c>
      <c r="S71" s="9" t="s">
        <v>66</v>
      </c>
      <c r="T71" s="9" t="s">
        <v>67</v>
      </c>
    </row>
    <row r="72" ht="28" customHeight="1" spans="2:20" x14ac:dyDescent="0.25" outlineLevel="1" collapsed="1">
      <c r="B72" s="8">
        <v>63</v>
      </c>
      <c r="C72" s="8">
        <v>23</v>
      </c>
      <c r="D72" s="9" t="s">
        <v>38</v>
      </c>
      <c r="E72" s="10">
        <f>$C$5+TIME(C72,0,0)</f>
      </c>
      <c r="F72" s="9">
        <f>TEXT($C$5,"yyyy-mm-dd")&amp;"T"&amp;TEXT(C72,"00")&amp;":00:00+07:00"</f>
      </c>
      <c r="G72" s="8">
        <v>1</v>
      </c>
      <c r="H72" s="9" t="s">
        <v>25</v>
      </c>
      <c r="I72" s="8">
        <v>7</v>
      </c>
      <c r="J72" s="9" t="s">
        <v>26</v>
      </c>
      <c r="K72" s="8">
        <v>10</v>
      </c>
      <c r="L72" s="8" t="s">
        <v>27</v>
      </c>
      <c r="M72" s="8" t="s">
        <v>28</v>
      </c>
      <c r="N72" s="8" t="s">
        <v>39</v>
      </c>
      <c r="O72" s="8" t="s">
        <v>29</v>
      </c>
      <c r="P72" s="8" t="s">
        <v>30</v>
      </c>
      <c r="Q72" s="9" t="s">
        <v>28</v>
      </c>
      <c r="R72" s="9" t="s">
        <v>40</v>
      </c>
      <c r="S72" s="9" t="s">
        <v>32</v>
      </c>
      <c r="T72" s="9" t="s">
        <v>33</v>
      </c>
    </row>
    <row r="73" ht="28" customHeight="1" spans="2:20" x14ac:dyDescent="0.25" outlineLevel="1" collapsed="1">
      <c r="B73" s="8">
        <v>64</v>
      </c>
      <c r="C73" s="8">
        <v>23</v>
      </c>
      <c r="D73" s="9" t="s">
        <v>43</v>
      </c>
      <c r="E73" s="10">
        <f>$C$5+TIME(C73,0,0)</f>
      </c>
      <c r="F73" s="9">
        <f>TEXT($C$5,"yyyy-mm-dd")&amp;"T"&amp;TEXT(C73,"00")&amp;":00:00+07:00"</f>
      </c>
      <c r="G73" s="8">
        <v>1</v>
      </c>
      <c r="H73" s="9" t="s">
        <v>25</v>
      </c>
      <c r="I73" s="8">
        <v>10</v>
      </c>
      <c r="J73" s="9" t="s">
        <v>35</v>
      </c>
      <c r="K73" s="8">
        <v>10</v>
      </c>
      <c r="L73" s="8" t="s">
        <v>27</v>
      </c>
      <c r="M73" s="8" t="s">
        <v>28</v>
      </c>
      <c r="N73" s="8" t="s">
        <v>39</v>
      </c>
      <c r="O73" s="8" t="s">
        <v>29</v>
      </c>
      <c r="P73" s="8" t="s">
        <v>30</v>
      </c>
      <c r="Q73" s="9" t="s">
        <v>28</v>
      </c>
      <c r="R73" s="9" t="s">
        <v>40</v>
      </c>
      <c r="S73" s="9" t="s">
        <v>66</v>
      </c>
      <c r="T73" s="9" t="s">
        <v>67</v>
      </c>
    </row>
    <row r="74" ht="28" customHeight="1" spans="2:20" x14ac:dyDescent="0.25" outlineLevel="1" collapsed="1">
      <c r="B74" s="8">
        <v>65</v>
      </c>
      <c r="C74" s="8">
        <v>23</v>
      </c>
      <c r="D74" s="9" t="s">
        <v>44</v>
      </c>
      <c r="E74" s="10">
        <f>$C$5+TIME(C74,0,0)</f>
      </c>
      <c r="F74" s="9">
        <f>TEXT($C$5,"yyyy-mm-dd")&amp;"T"&amp;TEXT(C74,"00")&amp;":00:00+07:00"</f>
      </c>
      <c r="G74" s="8">
        <v>1</v>
      </c>
      <c r="H74" s="9" t="s">
        <v>25</v>
      </c>
      <c r="I74" s="8">
        <v>7</v>
      </c>
      <c r="J74" s="9" t="s">
        <v>26</v>
      </c>
      <c r="K74" s="8">
        <v>6</v>
      </c>
      <c r="L74" s="8" t="s">
        <v>45</v>
      </c>
      <c r="M74" s="8" t="s">
        <v>28</v>
      </c>
      <c r="N74" s="8" t="s">
        <v>29</v>
      </c>
      <c r="O74" s="8" t="s">
        <v>29</v>
      </c>
      <c r="P74" s="8" t="s">
        <v>30</v>
      </c>
      <c r="Q74" s="9" t="s">
        <v>28</v>
      </c>
      <c r="R74" s="9" t="s">
        <v>46</v>
      </c>
      <c r="S74" s="9" t="s">
        <v>47</v>
      </c>
      <c r="T74" s="9" t="s">
        <v>48</v>
      </c>
    </row>
    <row r="75" ht="28" customHeight="1" spans="2:20" x14ac:dyDescent="0.25" outlineLevel="1" collapsed="1">
      <c r="B75" s="8">
        <v>66</v>
      </c>
      <c r="C75" s="8">
        <v>23</v>
      </c>
      <c r="D75" s="9" t="s">
        <v>49</v>
      </c>
      <c r="E75" s="10">
        <f>$C$5+TIME(C75,0,0)</f>
      </c>
      <c r="F75" s="9">
        <f>TEXT($C$5,"yyyy-mm-dd")&amp;"T"&amp;TEXT(C75,"00")&amp;":00:00+07:00"</f>
      </c>
      <c r="G75" s="8">
        <v>1</v>
      </c>
      <c r="H75" s="9" t="s">
        <v>25</v>
      </c>
      <c r="I75" s="8">
        <v>10</v>
      </c>
      <c r="J75" s="9" t="s">
        <v>35</v>
      </c>
      <c r="K75" s="8">
        <v>6</v>
      </c>
      <c r="L75" s="8" t="s">
        <v>45</v>
      </c>
      <c r="M75" s="8" t="s">
        <v>28</v>
      </c>
      <c r="N75" s="8" t="s">
        <v>29</v>
      </c>
      <c r="O75" s="8" t="s">
        <v>29</v>
      </c>
      <c r="P75" s="8" t="s">
        <v>30</v>
      </c>
      <c r="Q75" s="9" t="s">
        <v>28</v>
      </c>
      <c r="R75" s="9" t="s">
        <v>46</v>
      </c>
      <c r="S75" s="9" t="s">
        <v>32</v>
      </c>
      <c r="T75" s="9" t="s">
        <v>33</v>
      </c>
    </row>
    <row r="76" ht="28" customHeight="1" spans="2:20" x14ac:dyDescent="0.25" outlineLevel="1" collapsed="1">
      <c r="B76" s="8">
        <v>67</v>
      </c>
      <c r="C76" s="8">
        <v>23</v>
      </c>
      <c r="D76" s="9" t="s">
        <v>50</v>
      </c>
      <c r="E76" s="10">
        <f>$C$5+TIME(C76,0,0)</f>
      </c>
      <c r="F76" s="9">
        <f>TEXT($C$5,"yyyy-mm-dd")&amp;"T"&amp;TEXT(C76,"00")&amp;":00:00+07:00"</f>
      </c>
      <c r="G76" s="8">
        <v>1</v>
      </c>
      <c r="H76" s="9" t="s">
        <v>25</v>
      </c>
      <c r="I76" s="8">
        <v>7</v>
      </c>
      <c r="J76" s="9" t="s">
        <v>26</v>
      </c>
      <c r="K76" s="8">
        <v>6</v>
      </c>
      <c r="L76" s="8" t="s">
        <v>45</v>
      </c>
      <c r="M76" s="8" t="s">
        <v>28</v>
      </c>
      <c r="N76" s="8" t="s">
        <v>39</v>
      </c>
      <c r="O76" s="8" t="s">
        <v>29</v>
      </c>
      <c r="P76" s="8" t="s">
        <v>30</v>
      </c>
      <c r="Q76" s="9" t="s">
        <v>28</v>
      </c>
      <c r="R76" s="9" t="s">
        <v>51</v>
      </c>
      <c r="S76" s="9" t="s">
        <v>52</v>
      </c>
      <c r="T76" s="9" t="s">
        <v>53</v>
      </c>
    </row>
    <row r="77" ht="28" customHeight="1" spans="2:20" x14ac:dyDescent="0.25" outlineLevel="1" collapsed="1">
      <c r="B77" s="8">
        <v>68</v>
      </c>
      <c r="C77" s="8">
        <v>23</v>
      </c>
      <c r="D77" s="9" t="s">
        <v>54</v>
      </c>
      <c r="E77" s="10">
        <f>$C$5+TIME(C77,0,0)</f>
      </c>
      <c r="F77" s="9">
        <f>TEXT($C$5,"yyyy-mm-dd")&amp;"T"&amp;TEXT(C77,"00")&amp;":00:00+07:00"</f>
      </c>
      <c r="G77" s="8">
        <v>1</v>
      </c>
      <c r="H77" s="9" t="s">
        <v>25</v>
      </c>
      <c r="I77" s="8">
        <v>10</v>
      </c>
      <c r="J77" s="9" t="s">
        <v>35</v>
      </c>
      <c r="K77" s="8">
        <v>6</v>
      </c>
      <c r="L77" s="8" t="s">
        <v>45</v>
      </c>
      <c r="M77" s="8" t="s">
        <v>28</v>
      </c>
      <c r="N77" s="8" t="s">
        <v>39</v>
      </c>
      <c r="O77" s="8" t="s">
        <v>29</v>
      </c>
      <c r="P77" s="8" t="s">
        <v>30</v>
      </c>
      <c r="Q77" s="9" t="s">
        <v>28</v>
      </c>
      <c r="R77" s="9" t="s">
        <v>51</v>
      </c>
      <c r="S77" s="9" t="s">
        <v>32</v>
      </c>
      <c r="T77" s="9" t="s">
        <v>33</v>
      </c>
    </row>
    <row r="78" ht="28" customHeight="1" spans="2:20" x14ac:dyDescent="0.25" outlineLevel="1" collapsed="1">
      <c r="B78" s="8">
        <v>69</v>
      </c>
      <c r="C78" s="8">
        <v>23</v>
      </c>
      <c r="D78" s="9" t="s">
        <v>55</v>
      </c>
      <c r="E78" s="10">
        <f>$C$5+TIME(C78,0,0)</f>
      </c>
      <c r="F78" s="9">
        <f>TEXT($C$5,"yyyy-mm-dd")&amp;"T"&amp;TEXT(C78,"00")&amp;":00:00+07:00"</f>
      </c>
      <c r="G78" s="8">
        <v>1</v>
      </c>
      <c r="H78" s="9" t="s">
        <v>25</v>
      </c>
      <c r="I78" s="8">
        <v>7</v>
      </c>
      <c r="J78" s="9" t="s">
        <v>26</v>
      </c>
      <c r="K78" s="8">
        <v>8</v>
      </c>
      <c r="L78" s="8" t="s">
        <v>56</v>
      </c>
      <c r="M78" s="8">
        <v>50000</v>
      </c>
      <c r="N78" s="8" t="s">
        <v>29</v>
      </c>
      <c r="O78" s="8" t="s">
        <v>29</v>
      </c>
      <c r="P78" s="8" t="s">
        <v>30</v>
      </c>
      <c r="Q78" s="9" t="s">
        <v>28</v>
      </c>
      <c r="R78" s="9" t="s">
        <v>57</v>
      </c>
      <c r="S78" s="9" t="s">
        <v>66</v>
      </c>
      <c r="T78" s="9" t="s">
        <v>67</v>
      </c>
    </row>
    <row r="79" ht="28" customHeight="1" spans="2:20" x14ac:dyDescent="0.25" outlineLevel="1" collapsed="1">
      <c r="B79" s="8">
        <v>70</v>
      </c>
      <c r="C79" s="8">
        <v>23</v>
      </c>
      <c r="D79" s="9" t="s">
        <v>58</v>
      </c>
      <c r="E79" s="10">
        <f>$C$5+TIME(C79,0,0)</f>
      </c>
      <c r="F79" s="9">
        <f>TEXT($C$5,"yyyy-mm-dd")&amp;"T"&amp;TEXT(C79,"00")&amp;":00:00+07:00"</f>
      </c>
      <c r="G79" s="8">
        <v>1</v>
      </c>
      <c r="H79" s="9" t="s">
        <v>25</v>
      </c>
      <c r="I79" s="8">
        <v>10</v>
      </c>
      <c r="J79" s="9" t="s">
        <v>35</v>
      </c>
      <c r="K79" s="8">
        <v>8</v>
      </c>
      <c r="L79" s="8" t="s">
        <v>56</v>
      </c>
      <c r="M79" s="8">
        <v>70000</v>
      </c>
      <c r="N79" s="8" t="s">
        <v>29</v>
      </c>
      <c r="O79" s="8" t="s">
        <v>29</v>
      </c>
      <c r="P79" s="8" t="s">
        <v>30</v>
      </c>
      <c r="Q79" s="9" t="s">
        <v>28</v>
      </c>
      <c r="R79" s="9" t="s">
        <v>57</v>
      </c>
      <c r="S79" s="9" t="s">
        <v>47</v>
      </c>
      <c r="T79" s="9" t="s">
        <v>48</v>
      </c>
    </row>
    <row r="80" ht="28" customHeight="1" spans="2:20" x14ac:dyDescent="0.25" outlineLevel="1" collapsed="1">
      <c r="B80" s="8">
        <v>71</v>
      </c>
      <c r="C80" s="8">
        <v>23</v>
      </c>
      <c r="D80" s="9" t="s">
        <v>59</v>
      </c>
      <c r="E80" s="10">
        <f>$C$5+TIME(C80,0,0)</f>
      </c>
      <c r="F80" s="9">
        <f>TEXT($C$5,"yyyy-mm-dd")&amp;"T"&amp;TEXT(C80,"00")&amp;":00:00+07:00"</f>
      </c>
      <c r="G80" s="8">
        <v>1</v>
      </c>
      <c r="H80" s="9" t="s">
        <v>25</v>
      </c>
      <c r="I80" s="8">
        <v>7</v>
      </c>
      <c r="J80" s="9" t="s">
        <v>26</v>
      </c>
      <c r="K80" s="8">
        <v>8</v>
      </c>
      <c r="L80" s="8" t="s">
        <v>56</v>
      </c>
      <c r="M80" s="8">
        <v>50000</v>
      </c>
      <c r="N80" s="8" t="s">
        <v>39</v>
      </c>
      <c r="O80" s="8" t="s">
        <v>29</v>
      </c>
      <c r="P80" s="8" t="s">
        <v>30</v>
      </c>
      <c r="Q80" s="9" t="s">
        <v>28</v>
      </c>
      <c r="R80" s="9" t="s">
        <v>60</v>
      </c>
      <c r="S80" s="9" t="s">
        <v>36</v>
      </c>
      <c r="T80" s="9" t="s">
        <v>37</v>
      </c>
    </row>
    <row r="81" ht="28" customHeight="1" spans="2:20" x14ac:dyDescent="0.25" outlineLevel="1" collapsed="1">
      <c r="B81" s="8">
        <v>72</v>
      </c>
      <c r="C81" s="8">
        <v>23</v>
      </c>
      <c r="D81" s="9" t="s">
        <v>61</v>
      </c>
      <c r="E81" s="10">
        <f>$C$5+TIME(C81,0,0)</f>
      </c>
      <c r="F81" s="9">
        <f>TEXT($C$5,"yyyy-mm-dd")&amp;"T"&amp;TEXT(C81,"00")&amp;":00:00+07:00"</f>
      </c>
      <c r="G81" s="8">
        <v>1</v>
      </c>
      <c r="H81" s="9" t="s">
        <v>25</v>
      </c>
      <c r="I81" s="8">
        <v>10</v>
      </c>
      <c r="J81" s="9" t="s">
        <v>35</v>
      </c>
      <c r="K81" s="8">
        <v>8</v>
      </c>
      <c r="L81" s="8" t="s">
        <v>56</v>
      </c>
      <c r="M81" s="8">
        <v>70000</v>
      </c>
      <c r="N81" s="8" t="s">
        <v>39</v>
      </c>
      <c r="O81" s="8" t="s">
        <v>29</v>
      </c>
      <c r="P81" s="8" t="s">
        <v>30</v>
      </c>
      <c r="Q81" s="9" t="s">
        <v>28</v>
      </c>
      <c r="R81" s="9" t="s">
        <v>60</v>
      </c>
      <c r="S81" s="9" t="s">
        <v>47</v>
      </c>
      <c r="T81" s="9" t="s">
        <v>48</v>
      </c>
    </row>
    <row r="82" ht="46" customHeight="1" spans="2:20" x14ac:dyDescent="0.25" outlineLevel="1" collapsed="1">
      <c r="B82" s="8">
        <v>73</v>
      </c>
      <c r="C82" s="8">
        <v>23</v>
      </c>
      <c r="D82" s="9" t="s">
        <v>62</v>
      </c>
      <c r="E82" s="10">
        <f>$C$5+TIME(C82,0,0)</f>
      </c>
      <c r="F82" s="9">
        <f>TEXT($C$5,"yyyy-mm-dd")&amp;"T"&amp;TEXT(C82,"00")&amp;":00:00+07:00"</f>
      </c>
      <c r="G82" s="8">
        <v>1</v>
      </c>
      <c r="H82" s="9" t="s">
        <v>25</v>
      </c>
      <c r="I82" s="8">
        <v>7</v>
      </c>
      <c r="J82" s="9" t="s">
        <v>26</v>
      </c>
      <c r="K82" s="8">
        <v>10</v>
      </c>
      <c r="L82" s="8" t="s">
        <v>27</v>
      </c>
      <c r="M82" s="8" t="s">
        <v>28</v>
      </c>
      <c r="N82" s="8" t="s">
        <v>29</v>
      </c>
      <c r="O82" s="11" t="s">
        <v>29</v>
      </c>
      <c r="P82" s="11" t="s">
        <v>63</v>
      </c>
      <c r="Q82" s="12" t="s">
        <v>81</v>
      </c>
      <c r="R82" s="9" t="s">
        <v>65</v>
      </c>
      <c r="S82" s="9" t="s">
        <v>52</v>
      </c>
      <c r="T82" s="9" t="s">
        <v>53</v>
      </c>
    </row>
    <row r="83" ht="46" customHeight="1" spans="2:20" x14ac:dyDescent="0.25" outlineLevel="1" collapsed="1">
      <c r="B83" s="8">
        <v>74</v>
      </c>
      <c r="C83" s="8">
        <v>23</v>
      </c>
      <c r="D83" s="9" t="s">
        <v>68</v>
      </c>
      <c r="E83" s="10">
        <f>$C$5+TIME(C83,0,0)</f>
      </c>
      <c r="F83" s="9">
        <f>TEXT($C$5,"yyyy-mm-dd")&amp;"T"&amp;TEXT(C83,"00")&amp;":00:00+07:00"</f>
      </c>
      <c r="G83" s="8">
        <v>1</v>
      </c>
      <c r="H83" s="9" t="s">
        <v>25</v>
      </c>
      <c r="I83" s="8">
        <v>10</v>
      </c>
      <c r="J83" s="9" t="s">
        <v>35</v>
      </c>
      <c r="K83" s="8">
        <v>6</v>
      </c>
      <c r="L83" s="8" t="s">
        <v>45</v>
      </c>
      <c r="M83" s="8" t="s">
        <v>28</v>
      </c>
      <c r="N83" s="8" t="s">
        <v>39</v>
      </c>
      <c r="O83" s="11" t="s">
        <v>29</v>
      </c>
      <c r="P83" s="11" t="s">
        <v>63</v>
      </c>
      <c r="Q83" s="12" t="s">
        <v>82</v>
      </c>
      <c r="R83" s="9" t="s">
        <v>65</v>
      </c>
      <c r="S83" s="9" t="s">
        <v>41</v>
      </c>
      <c r="T83" s="9" t="s">
        <v>42</v>
      </c>
    </row>
    <row r="84" ht="46" customHeight="1" spans="2:20" x14ac:dyDescent="0.25" outlineLevel="1" collapsed="1">
      <c r="B84" s="8">
        <v>75</v>
      </c>
      <c r="C84" s="8">
        <v>23</v>
      </c>
      <c r="D84" s="9" t="s">
        <v>70</v>
      </c>
      <c r="E84" s="10">
        <f>$C$5+TIME(C84,0,0)</f>
      </c>
      <c r="F84" s="9">
        <f>TEXT($C$5,"yyyy-mm-dd")&amp;"T"&amp;TEXT(C84,"00")&amp;":00:00+07:00"</f>
      </c>
      <c r="G84" s="8">
        <v>1</v>
      </c>
      <c r="H84" s="9" t="s">
        <v>25</v>
      </c>
      <c r="I84" s="8">
        <v>7</v>
      </c>
      <c r="J84" s="9" t="s">
        <v>26</v>
      </c>
      <c r="K84" s="8">
        <v>8</v>
      </c>
      <c r="L84" s="8" t="s">
        <v>56</v>
      </c>
      <c r="M84" s="8">
        <v>50000</v>
      </c>
      <c r="N84" s="8" t="s">
        <v>29</v>
      </c>
      <c r="O84" s="11" t="s">
        <v>29</v>
      </c>
      <c r="P84" s="11" t="s">
        <v>63</v>
      </c>
      <c r="Q84" s="12" t="s">
        <v>83</v>
      </c>
      <c r="R84" s="9" t="s">
        <v>65</v>
      </c>
      <c r="S84" s="9" t="s">
        <v>41</v>
      </c>
      <c r="T84" s="9" t="s">
        <v>42</v>
      </c>
    </row>
  </sheetData>
  <mergeCells count="2">
    <mergeCell ref="B3:T3"/>
    <mergeCell ref="B7:T7"/>
  </mergeCells>
  <dataValidations count="2">
    <dataValidation type="list" sqref="L10:L84">
      <formula1>"FREE,SPLIT,FIXED"</formula1>
    </dataValidation>
    <dataValidation type="list" sqref="N10:N84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3"/>
  <sheetViews>
    <sheetView workbookViewId="0" showGridLines="0"/>
  </sheetViews>
  <sheetFormatPr defaultRowHeight="15" outlineLevelRow="0" outlineLevelCol="0" x14ac:dyDescent="55"/>
  <cols>
    <col min="2" max="2" width="34" customWidth="1"/>
    <col min="3" max="3" width="14" customWidth="1"/>
  </cols>
  <sheetData>
    <row r="2" spans="2:3" x14ac:dyDescent="0.25">
      <c r="B2" s="16" t="s">
        <v>84</v>
      </c>
      <c r="C2" s="16"/>
    </row>
    <row r="4" ht="18" customHeight="1" spans="2:3" x14ac:dyDescent="0.25">
      <c r="B4" s="17" t="s">
        <v>85</v>
      </c>
      <c r="C4" s="18">
        <f>COUNTA('Session Generator'!B10:B84)</f>
      </c>
    </row>
    <row r="5" ht="18" customHeight="1" x14ac:dyDescent="0.25"/>
    <row r="6" ht="18" customHeight="1" spans="2:3" x14ac:dyDescent="0.25">
      <c r="B6" s="17" t="s">
        <v>86</v>
      </c>
      <c r="C6" s="18"/>
    </row>
    <row r="7" ht="18" customHeight="1" spans="2:3" x14ac:dyDescent="0.25">
      <c r="B7" s="19" t="s">
        <v>87</v>
      </c>
      <c r="C7" s="20">
        <f>COUNTIF('Session Generator'!C10:C84,7)</f>
      </c>
    </row>
    <row r="8" ht="18" customHeight="1" spans="2:3" x14ac:dyDescent="0.25">
      <c r="B8" s="19" t="s">
        <v>88</v>
      </c>
      <c r="C8" s="20">
        <f>COUNTIF('Session Generator'!C10:C84,11)</f>
      </c>
    </row>
    <row r="9" ht="18" customHeight="1" spans="2:3" x14ac:dyDescent="0.25">
      <c r="B9" s="19" t="s">
        <v>89</v>
      </c>
      <c r="C9" s="20">
        <f>COUNTIF('Session Generator'!C10:C84,15)</f>
      </c>
    </row>
    <row r="10" ht="18" customHeight="1" spans="2:3" x14ac:dyDescent="0.25">
      <c r="B10" s="19" t="s">
        <v>90</v>
      </c>
      <c r="C10" s="20">
        <f>COUNTIF('Session Generator'!C10:C84,19)</f>
      </c>
    </row>
    <row r="11" ht="18" customHeight="1" spans="2:3" x14ac:dyDescent="0.25">
      <c r="B11" s="19" t="s">
        <v>91</v>
      </c>
      <c r="C11" s="20">
        <f>COUNTIF('Session Generator'!C10:C84,23)</f>
      </c>
    </row>
    <row r="12" ht="18" customHeight="1" x14ac:dyDescent="0.25"/>
    <row r="13" ht="18" customHeight="1" spans="2:3" x14ac:dyDescent="0.25">
      <c r="B13" s="17" t="s">
        <v>92</v>
      </c>
      <c r="C13" s="18"/>
    </row>
    <row r="14" ht="18" customHeight="1" spans="2:3" x14ac:dyDescent="0.25">
      <c r="B14" s="19" t="s">
        <v>93</v>
      </c>
      <c r="C14" s="20">
        <f>COUNTIF('Session Generator'!L10:L84,"FREE")</f>
      </c>
    </row>
    <row r="15" ht="18" customHeight="1" spans="2:3" x14ac:dyDescent="0.25">
      <c r="B15" s="19" t="s">
        <v>94</v>
      </c>
      <c r="C15" s="20">
        <f>COUNTIF('Session Generator'!L10:L84,"SPLIT")</f>
      </c>
    </row>
    <row r="16" ht="18" customHeight="1" spans="2:3" x14ac:dyDescent="0.25">
      <c r="B16" s="19" t="s">
        <v>95</v>
      </c>
      <c r="C16" s="20">
        <f>COUNTIF('Session Generator'!L10:L84,"FIXED")</f>
      </c>
    </row>
    <row r="17" ht="18" customHeight="1" x14ac:dyDescent="0.25"/>
    <row r="18" ht="18" customHeight="1" spans="2:3" x14ac:dyDescent="0.25">
      <c r="B18" s="17" t="s">
        <v>96</v>
      </c>
      <c r="C18" s="18"/>
    </row>
    <row r="19" ht="18" customHeight="1" spans="2:3" x14ac:dyDescent="0.25">
      <c r="B19" s="19" t="s">
        <v>97</v>
      </c>
      <c r="C19" s="20">
        <f>COUNTIF('Session Generator'!N10:N84,"TRUE")</f>
      </c>
    </row>
    <row r="20" ht="18" customHeight="1" spans="2:3" x14ac:dyDescent="0.25">
      <c r="B20" s="19" t="s">
        <v>98</v>
      </c>
      <c r="C20" s="20">
        <f>COUNTIF('Session Generator'!N10:N84,"FALSE")</f>
      </c>
    </row>
    <row r="21" ht="18" customHeight="1" x14ac:dyDescent="0.25"/>
    <row r="22" ht="18" customHeight="1" spans="2:3" x14ac:dyDescent="0.25">
      <c r="B22" s="17" t="s">
        <v>99</v>
      </c>
      <c r="C22" s="18">
        <f>COUNTIF('Session Generator'!P10:P84,"YES")</f>
      </c>
    </row>
    <row r="23" ht="18" customHeight="1" spans="2:3" x14ac:dyDescent="0.25">
      <c r="B23" s="17" t="s">
        <v>100</v>
      </c>
      <c r="C23" s="18"/>
    </row>
    <row r="24" ht="18" customHeight="1" spans="2:3" x14ac:dyDescent="0.25">
      <c r="B24" s="19" t="s">
        <v>101</v>
      </c>
      <c r="C24" s="20">
        <f>COUNTIF('Session Generator'!I10:I84,7)</f>
      </c>
    </row>
    <row r="25" ht="18" customHeight="1" spans="2:3" x14ac:dyDescent="0.25">
      <c r="B25" s="19" t="s">
        <v>102</v>
      </c>
      <c r="C25" s="20">
        <f>COUNTIF('Session Generator'!I10:I84,10)</f>
      </c>
    </row>
    <row r="26" ht="18" customHeight="1" x14ac:dyDescent="0.25"/>
    <row r="27" ht="18" customHeight="1" spans="2:3" x14ac:dyDescent="0.25">
      <c r="B27" s="17" t="s">
        <v>103</v>
      </c>
      <c r="C27" s="18"/>
    </row>
    <row r="28" ht="18" customHeight="1" spans="2:3" x14ac:dyDescent="0.25">
      <c r="B28" s="19" t="s">
        <v>104</v>
      </c>
      <c r="C28" s="20">
        <f>COUNTIF('Session Generator'!T10:T84,"a4989bbe-033a-4a20-9784-7dafe8a7829e")</f>
      </c>
    </row>
    <row r="29" ht="18" customHeight="1" spans="2:3" x14ac:dyDescent="0.25">
      <c r="B29" s="19" t="s">
        <v>105</v>
      </c>
      <c r="C29" s="20">
        <f>COUNTIF('Session Generator'!T10:T84,"6c282544-57b6-4712-bb6a-bc696a4ee09b")</f>
      </c>
    </row>
    <row r="30" ht="18" customHeight="1" spans="2:3" x14ac:dyDescent="0.25">
      <c r="B30" s="19" t="s">
        <v>106</v>
      </c>
      <c r="C30" s="20">
        <f>COUNTIF('Session Generator'!T10:T84,"456f3ac4-98f3-43d0-9b7a-7b3bd0c886ac")</f>
      </c>
    </row>
    <row r="31" ht="18" customHeight="1" spans="2:3" x14ac:dyDescent="0.25">
      <c r="B31" s="19" t="s">
        <v>107</v>
      </c>
      <c r="C31" s="20">
        <f>COUNTIF('Session Generator'!T10:T84,"ebc9e657-541e-4239-b32a-feb3cab1d6c7")</f>
      </c>
    </row>
    <row r="32" ht="18" customHeight="1" spans="2:3" x14ac:dyDescent="0.25">
      <c r="B32" s="19" t="s">
        <v>108</v>
      </c>
      <c r="C32" s="20">
        <f>COUNTIF('Session Generator'!T10:T84,"d6e7ba31-23fa-4359-a736-e706db8284c2")</f>
      </c>
    </row>
    <row r="33" ht="18" customHeight="1" spans="2:3" x14ac:dyDescent="0.25">
      <c r="B33" s="19" t="s">
        <v>109</v>
      </c>
      <c r="C33" s="20">
        <f>COUNTIF('Session Generator'!T10:T84,"c98b95c9-df75-4be5-baa1-4892ed15044a")</f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3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6" customWidth="1"/>
    <col min="3" max="3" width="38" customWidth="1"/>
    <col min="4" max="4" width="16" customWidth="1"/>
    <col min="5" max="5" width="18" customWidth="1"/>
    <col min="6" max="6" width="16" customWidth="1"/>
  </cols>
  <sheetData>
    <row r="2" spans="2:6" x14ac:dyDescent="0.25">
      <c r="B2" s="1" t="s">
        <v>110</v>
      </c>
      <c r="C2" s="1"/>
      <c r="D2" s="1"/>
      <c r="E2" s="1"/>
      <c r="F2" s="1"/>
    </row>
    <row r="3" ht="42" customHeight="1" spans="2:6" x14ac:dyDescent="0.25">
      <c r="B3" s="2" t="s">
        <v>111</v>
      </c>
      <c r="C3" s="2"/>
      <c r="D3" s="2"/>
      <c r="E3" s="2"/>
      <c r="F3" s="2"/>
    </row>
    <row r="5" spans="2:6" x14ac:dyDescent="0.25">
      <c r="B5" s="7" t="s">
        <v>112</v>
      </c>
      <c r="C5" s="7" t="s">
        <v>113</v>
      </c>
      <c r="D5" s="7" t="s">
        <v>114</v>
      </c>
      <c r="E5" s="7" t="s">
        <v>115</v>
      </c>
      <c r="F5" s="7" t="s">
        <v>116</v>
      </c>
    </row>
    <row r="6" spans="2:6" x14ac:dyDescent="0.25">
      <c r="B6" s="21">
        <v>2</v>
      </c>
      <c r="C6" s="21" t="s">
        <v>117</v>
      </c>
      <c r="D6" s="21" t="s">
        <v>118</v>
      </c>
      <c r="E6" s="21" t="s">
        <v>28</v>
      </c>
      <c r="F6" s="21" t="s">
        <v>119</v>
      </c>
    </row>
    <row r="7" spans="2:6" x14ac:dyDescent="0.25">
      <c r="B7" s="21">
        <v>3</v>
      </c>
      <c r="C7" s="21" t="s">
        <v>120</v>
      </c>
      <c r="D7" s="21" t="s">
        <v>28</v>
      </c>
      <c r="E7" s="21" t="s">
        <v>28</v>
      </c>
      <c r="F7" s="21" t="s">
        <v>119</v>
      </c>
    </row>
    <row r="8" spans="2:6" x14ac:dyDescent="0.25">
      <c r="B8" s="21">
        <v>4</v>
      </c>
      <c r="C8" s="21" t="s">
        <v>121</v>
      </c>
      <c r="D8" s="21" t="s">
        <v>28</v>
      </c>
      <c r="E8" s="21" t="s">
        <v>28</v>
      </c>
      <c r="F8" s="21" t="s">
        <v>119</v>
      </c>
    </row>
    <row r="9" spans="2:6" x14ac:dyDescent="0.25">
      <c r="B9" s="21">
        <v>5</v>
      </c>
      <c r="C9" s="21" t="s">
        <v>122</v>
      </c>
      <c r="D9" s="21" t="s">
        <v>28</v>
      </c>
      <c r="E9" s="21" t="s">
        <v>28</v>
      </c>
      <c r="F9" s="21" t="s">
        <v>119</v>
      </c>
    </row>
    <row r="10" spans="2:6" x14ac:dyDescent="0.25">
      <c r="B10" s="22">
        <v>7</v>
      </c>
      <c r="C10" s="22" t="s">
        <v>26</v>
      </c>
      <c r="D10" s="22" t="s">
        <v>28</v>
      </c>
      <c r="E10" s="22" t="s">
        <v>123</v>
      </c>
      <c r="F10" s="22" t="s">
        <v>124</v>
      </c>
    </row>
    <row r="11" spans="2:6" x14ac:dyDescent="0.25">
      <c r="B11" s="21">
        <v>8</v>
      </c>
      <c r="C11" s="21" t="s">
        <v>125</v>
      </c>
      <c r="D11" s="21" t="s">
        <v>118</v>
      </c>
      <c r="E11" s="21" t="s">
        <v>123</v>
      </c>
      <c r="F11" s="21" t="s">
        <v>119</v>
      </c>
    </row>
    <row r="12" spans="2:6" x14ac:dyDescent="0.25">
      <c r="B12" s="21">
        <v>9</v>
      </c>
      <c r="C12" s="21" t="s">
        <v>126</v>
      </c>
      <c r="D12" s="21" t="s">
        <v>127</v>
      </c>
      <c r="E12" s="21" t="s">
        <v>123</v>
      </c>
      <c r="F12" s="21" t="s">
        <v>119</v>
      </c>
    </row>
    <row r="13" spans="2:6" x14ac:dyDescent="0.25">
      <c r="B13" s="22">
        <v>10</v>
      </c>
      <c r="C13" s="22" t="s">
        <v>35</v>
      </c>
      <c r="D13" s="22" t="s">
        <v>28</v>
      </c>
      <c r="E13" s="22" t="s">
        <v>123</v>
      </c>
      <c r="F13" s="22" t="s">
        <v>124</v>
      </c>
    </row>
  </sheetData>
  <mergeCells count="2">
    <mergeCell ref="B2:F2"/>
    <mergeCell ref="B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1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22" customWidth="1"/>
    <col min="3" max="3" width="16" customWidth="1"/>
    <col min="4" max="4" width="38" customWidth="1"/>
    <col min="5" max="5" width="16" customWidth="1"/>
  </cols>
  <sheetData>
    <row r="2" spans="2:5" x14ac:dyDescent="0.25">
      <c r="B2" s="1" t="s">
        <v>128</v>
      </c>
      <c r="C2" s="1"/>
      <c r="D2" s="1"/>
      <c r="E2" s="1"/>
    </row>
    <row r="3" ht="30" customHeight="1" spans="2:5" x14ac:dyDescent="0.25">
      <c r="B3" s="2" t="s">
        <v>129</v>
      </c>
      <c r="C3" s="2"/>
      <c r="D3" s="2"/>
      <c r="E3" s="2"/>
    </row>
    <row r="5" spans="2:5" x14ac:dyDescent="0.25">
      <c r="B5" s="7" t="s">
        <v>130</v>
      </c>
      <c r="C5" s="7" t="s">
        <v>113</v>
      </c>
      <c r="D5" s="7" t="s">
        <v>131</v>
      </c>
      <c r="E5" s="7" t="s">
        <v>132</v>
      </c>
    </row>
    <row r="6" spans="2:5" x14ac:dyDescent="0.25">
      <c r="B6" s="21" t="s">
        <v>41</v>
      </c>
      <c r="C6" s="21" t="s">
        <v>133</v>
      </c>
      <c r="D6" s="21" t="s">
        <v>42</v>
      </c>
      <c r="E6" s="20">
        <f>COUNTIF('Session Generator'!T10:T84,"a4989bbe-033a-4a20-9784-7dafe8a7829e")</f>
      </c>
    </row>
    <row r="7" spans="2:5" x14ac:dyDescent="0.25">
      <c r="B7" s="21" t="s">
        <v>36</v>
      </c>
      <c r="C7" s="21" t="s">
        <v>134</v>
      </c>
      <c r="D7" s="21" t="s">
        <v>37</v>
      </c>
      <c r="E7" s="20">
        <f>COUNTIF('Session Generator'!T10:T84,"6c282544-57b6-4712-bb6a-bc696a4ee09b")</f>
      </c>
    </row>
    <row r="8" spans="2:5" x14ac:dyDescent="0.25">
      <c r="B8" s="21" t="s">
        <v>52</v>
      </c>
      <c r="C8" s="21" t="s">
        <v>135</v>
      </c>
      <c r="D8" s="21" t="s">
        <v>53</v>
      </c>
      <c r="E8" s="20">
        <f>COUNTIF('Session Generator'!T10:T84,"456f3ac4-98f3-43d0-9b7a-7b3bd0c886ac")</f>
      </c>
    </row>
    <row r="9" spans="2:5" x14ac:dyDescent="0.25">
      <c r="B9" s="21" t="s">
        <v>47</v>
      </c>
      <c r="C9" s="21" t="s">
        <v>136</v>
      </c>
      <c r="D9" s="21" t="s">
        <v>48</v>
      </c>
      <c r="E9" s="20">
        <f>COUNTIF('Session Generator'!T10:T84,"ebc9e657-541e-4239-b32a-feb3cab1d6c7")</f>
      </c>
    </row>
    <row r="10" spans="2:5" x14ac:dyDescent="0.25">
      <c r="B10" s="21" t="s">
        <v>32</v>
      </c>
      <c r="C10" s="21" t="s">
        <v>137</v>
      </c>
      <c r="D10" s="21" t="s">
        <v>33</v>
      </c>
      <c r="E10" s="20">
        <f>COUNTIF('Session Generator'!T10:T84,"d6e7ba31-23fa-4359-a736-e706db8284c2")</f>
      </c>
    </row>
    <row r="11" spans="2:5" x14ac:dyDescent="0.25">
      <c r="B11" s="21" t="s">
        <v>66</v>
      </c>
      <c r="C11" s="21" t="s">
        <v>138</v>
      </c>
      <c r="D11" s="21" t="s">
        <v>67</v>
      </c>
      <c r="E11" s="20">
        <f>COUNTIF('Session Generator'!T10:T84,"c98b95c9-df75-4be5-baa1-4892ed15044a")</f>
      </c>
    </row>
  </sheetData>
  <mergeCells count="2">
    <mergeCell ref="B2:E2"/>
    <mergeCell ref="B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2"/>
  <sheetViews>
    <sheetView workbookViewId="0" showGridLines="0"/>
  </sheetViews>
  <sheetFormatPr defaultRowHeight="15" outlineLevelRow="0" outlineLevelCol="0" x14ac:dyDescent="55"/>
  <cols>
    <col min="2" max="2" width="4" customWidth="1"/>
    <col min="3" max="3" width="100" customWidth="1"/>
  </cols>
  <sheetData>
    <row r="2" spans="2:2" x14ac:dyDescent="0.25">
      <c r="B2" s="1" t="s">
        <v>139</v>
      </c>
    </row>
    <row r="4" ht="30" customHeight="1" spans="2:3" x14ac:dyDescent="0.25">
      <c r="B4" s="23" t="s">
        <v>140</v>
      </c>
      <c r="C4" s="24" t="s">
        <v>141</v>
      </c>
    </row>
    <row r="6" ht="90" customHeight="1" spans="2:3" x14ac:dyDescent="0.25">
      <c r="B6" s="23" t="s">
        <v>142</v>
      </c>
      <c r="C6" s="24" t="s">
        <v>143</v>
      </c>
    </row>
    <row r="8" ht="135" customHeight="1" spans="2:3" x14ac:dyDescent="0.25">
      <c r="B8" s="23" t="s">
        <v>144</v>
      </c>
      <c r="C8" s="24" t="s">
        <v>145</v>
      </c>
    </row>
    <row r="10" ht="75" customHeight="1" spans="2:3" x14ac:dyDescent="0.25">
      <c r="B10" s="23" t="s">
        <v>146</v>
      </c>
      <c r="C10" s="24" t="s">
        <v>147</v>
      </c>
    </row>
    <row r="12" ht="60" customHeight="1" spans="2:3" x14ac:dyDescent="0.25">
      <c r="B12" s="23" t="s">
        <v>148</v>
      </c>
      <c r="C12" s="24" t="s">
        <v>149</v>
      </c>
    </row>
    <row r="14" ht="30" customHeight="1" spans="2:3" x14ac:dyDescent="0.25">
      <c r="B14" s="23" t="s">
        <v>150</v>
      </c>
      <c r="C14" s="24" t="s">
        <v>151</v>
      </c>
    </row>
    <row r="16" ht="30" customHeight="1" spans="2:3" x14ac:dyDescent="0.25">
      <c r="B16" s="23" t="s">
        <v>152</v>
      </c>
      <c r="C16" s="24" t="s">
        <v>153</v>
      </c>
    </row>
    <row r="18" ht="120" customHeight="1" spans="2:3" x14ac:dyDescent="0.25">
      <c r="B18" s="23" t="s">
        <v>154</v>
      </c>
      <c r="C18" s="24" t="s">
        <v>155</v>
      </c>
    </row>
    <row r="20" ht="30" customHeight="1" spans="2:3" x14ac:dyDescent="0.25">
      <c r="B20" s="23" t="s">
        <v>156</v>
      </c>
      <c r="C20" s="24" t="s">
        <v>157</v>
      </c>
    </row>
    <row r="22" ht="60" customHeight="1" spans="2:3" x14ac:dyDescent="0.25">
      <c r="B22" s="23" t="s">
        <v>158</v>
      </c>
      <c r="C22" s="24" t="s">
        <v>159</v>
      </c>
    </row>
    <row r="24" ht="45" customHeight="1" spans="2:3" x14ac:dyDescent="0.25">
      <c r="B24" s="23" t="s">
        <v>160</v>
      </c>
      <c r="C24" s="24" t="s">
        <v>161</v>
      </c>
    </row>
    <row r="26" ht="60" customHeight="1" spans="2:3" x14ac:dyDescent="0.25">
      <c r="B26" s="23" t="s">
        <v>16</v>
      </c>
      <c r="C26" s="24" t="s">
        <v>162</v>
      </c>
    </row>
    <row r="28" ht="45" customHeight="1" spans="2:3" x14ac:dyDescent="0.25">
      <c r="B28" s="23" t="s">
        <v>14</v>
      </c>
      <c r="C28" s="24" t="s">
        <v>163</v>
      </c>
    </row>
    <row r="30" ht="60" customHeight="1" spans="2:3" x14ac:dyDescent="0.25">
      <c r="B30" s="23" t="s">
        <v>164</v>
      </c>
      <c r="C30" s="24" t="s">
        <v>165</v>
      </c>
    </row>
    <row r="32" ht="30" customHeight="1" spans="2:3" x14ac:dyDescent="0.25">
      <c r="B32" s="23" t="s">
        <v>166</v>
      </c>
      <c r="C32" s="24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Session Generator</vt:lpstr>
      <vt:lpstr>Summary</vt:lpstr>
      <vt:lpstr>Locations (Badminton, real DB)</vt:lpstr>
      <vt:lpstr>Authors (bao.mmo, real DB)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2026-09-23T02:53:52Z</dcterms:created>
  <dcterms:modified xsi:type="dcterms:W3CDTF">2026-09-23T02:53:52Z</dcterms:modified>
</cp:coreProperties>
</file>